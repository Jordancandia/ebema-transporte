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Rutas con distorsión" sheetId="2" state="visible" r:id="rId4"/>
  </sheets>
  <definedNames>
    <definedName function="false" hidden="true" localSheetId="1" name="_xlnm._FilterDatabase" vbProcedure="false">'Rutas con distorsión'!$A$1:$Q$218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<sst xmlns="http://schemas.openxmlformats.org/spreadsheetml/2006/main" count="1784" uniqueCount="407">
  <si>
    <t xml:space="preserve">Rutas activas con km inconsistente — SIT EBEMA</t>
  </si>
  <si>
    <t xml:space="preserve">Criterio: km cargado &lt; 90% de la distancia en línea recta entre el centro de origen y la comuna (sólo si la línea recta &gt; 30 km). Fuente: tabla routes y logistics_centres de Producción, 27-09-2026.</t>
  </si>
  <si>
    <t xml:space="preserve">Factor carretera / línea recta</t>
  </si>
  <si>
    <t xml:space="preserve">Supuesto para el "KM estimado" de referencia (la distancia por carretera suele ser 1,2–1,35 × la línea recta). Ajustable.</t>
  </si>
  <si>
    <t xml:space="preserve">Diagnóstico</t>
  </si>
  <si>
    <t xml:space="preserve">Rutas</t>
  </si>
  <si>
    <t xml:space="preserve">Qué significa</t>
  </si>
  <si>
    <t xml:space="preserve">1. KM EN CERO</t>
  </si>
  <si>
    <t xml:space="preserve">La ruta no tiene km cargados (incluye destinos especiales como Isla de Pascua o Antártica).</t>
  </si>
  <si>
    <t xml:space="preserve">2. KM COPIADO DE SANTIAGO</t>
  </si>
  <si>
    <t xml:space="preserve">El km es igual (±2) al de la ruta desde Santiago al mismo destino: se copió la distancia medida desde Santiago.</t>
  </si>
  <si>
    <t xml:space="preserve">3. KM MUY BAJO</t>
  </si>
  <si>
    <t xml:space="preserve">El km es menor a la mitad de la línea recta: error de carga.</t>
  </si>
  <si>
    <t xml:space="preserve">4. LEVE (revisar coordenada)</t>
  </si>
  <si>
    <t xml:space="preserve">Diferencia menor; suele ser la coordenada de la comuna (centroide lejos del centro urbano). Revisar antes de cambiar el km.</t>
  </si>
  <si>
    <t xml:space="preserve">Total</t>
  </si>
  <si>
    <t xml:space="preserve">Por centro de origen</t>
  </si>
  <si>
    <t xml:space="preserve">Centro</t>
  </si>
  <si>
    <t xml:space="preserve">CD Antofagasta</t>
  </si>
  <si>
    <t xml:space="preserve">CD Chillan</t>
  </si>
  <si>
    <t xml:space="preserve">CD Concepción</t>
  </si>
  <si>
    <t xml:space="preserve">CD Coquimbo</t>
  </si>
  <si>
    <t xml:space="preserve">CD La Calera</t>
  </si>
  <si>
    <t xml:space="preserve">CD Puerto Montt</t>
  </si>
  <si>
    <t xml:space="preserve">CD Rancagua</t>
  </si>
  <si>
    <t xml:space="preserve">CD San Bernado</t>
  </si>
  <si>
    <t xml:space="preserve">CD Talca</t>
  </si>
  <si>
    <t xml:space="preserve">CD Temuco</t>
  </si>
  <si>
    <t xml:space="preserve">Planta Electrosoldado</t>
  </si>
  <si>
    <t xml:space="preserve">Código ruta</t>
  </si>
  <si>
    <t xml:space="preserve">Centro origen</t>
  </si>
  <si>
    <t xml:space="preserve">Id centro</t>
  </si>
  <si>
    <t xml:space="preserve">Destino</t>
  </si>
  <si>
    <t xml:space="preserve">Región</t>
  </si>
  <si>
    <t xml:space="preserve">Clasificación</t>
  </si>
  <si>
    <t xml:space="preserve">KM cargado</t>
  </si>
  <si>
    <t xml:space="preserve">KM línea recta</t>
  </si>
  <si>
    <t xml:space="preserve">% KM / línea recta</t>
  </si>
  <si>
    <t xml:space="preserve">KM estimado (referencia)</t>
  </si>
  <si>
    <t xml:space="preserve">KM ruta desde Santiago (mismo destino)</t>
  </si>
  <si>
    <t xml:space="preserve">Lat destino</t>
  </si>
  <si>
    <t xml:space="preserve">Lon destino</t>
  </si>
  <si>
    <t xml:space="preserve">KM por carretera (OSRM)</t>
  </si>
  <si>
    <t xml:space="preserve">KM corregido (completar)</t>
  </si>
  <si>
    <t xml:space="preserve">Observación</t>
  </si>
  <si>
    <t xml:space="preserve">COQ76</t>
  </si>
  <si>
    <t xml:space="preserve">1040</t>
  </si>
  <si>
    <t xml:space="preserve">JUAN FERNANDEZ</t>
  </si>
  <si>
    <t xml:space="preserve">Valparaíso</t>
  </si>
  <si>
    <t xml:space="preserve">Interregional</t>
  </si>
  <si>
    <t xml:space="preserve">No se propone cambio: isla / diferencia leve (revisar coordenada) / sin ruta terrestre</t>
  </si>
  <si>
    <t xml:space="preserve">COQ80</t>
  </si>
  <si>
    <t xml:space="preserve">ISLA DE PASCUA</t>
  </si>
  <si>
    <t xml:space="preserve">LAC622</t>
  </si>
  <si>
    <t xml:space="preserve">1050</t>
  </si>
  <si>
    <t xml:space="preserve">Regional</t>
  </si>
  <si>
    <t xml:space="preserve">LAC624</t>
  </si>
  <si>
    <t xml:space="preserve">PMO725</t>
  </si>
  <si>
    <t xml:space="preserve">1100</t>
  </si>
  <si>
    <t xml:space="preserve">ANTARTICA</t>
  </si>
  <si>
    <t xml:space="preserve">Magallanes y de la Antártica Chilena</t>
  </si>
  <si>
    <t xml:space="preserve">RAN686</t>
  </si>
  <si>
    <t xml:space="preserve">1060</t>
  </si>
  <si>
    <t xml:space="preserve">PEAJE ANGOSTURA</t>
  </si>
  <si>
    <t xml:space="preserve">Metropolitana de Santiago</t>
  </si>
  <si>
    <t xml:space="preserve">Propuesto: usar km por carretera</t>
  </si>
  <si>
    <t xml:space="preserve">RAN692</t>
  </si>
  <si>
    <t xml:space="preserve">RAN696</t>
  </si>
  <si>
    <t xml:space="preserve">TAL648</t>
  </si>
  <si>
    <t xml:space="preserve">1070</t>
  </si>
  <si>
    <t xml:space="preserve">TAL652</t>
  </si>
  <si>
    <t xml:space="preserve">ANT557</t>
  </si>
  <si>
    <t xml:space="preserve">1020</t>
  </si>
  <si>
    <t xml:space="preserve">CALERA</t>
  </si>
  <si>
    <t xml:space="preserve">ANT575</t>
  </si>
  <si>
    <t xml:space="preserve">ILLAPEL</t>
  </si>
  <si>
    <t xml:space="preserve">Coquimbo</t>
  </si>
  <si>
    <t xml:space="preserve">ANT578</t>
  </si>
  <si>
    <t xml:space="preserve">SALAMANCA</t>
  </si>
  <si>
    <t xml:space="preserve">ANT587</t>
  </si>
  <si>
    <t xml:space="preserve">EL BOSQUE</t>
  </si>
  <si>
    <t xml:space="preserve">ANT588</t>
  </si>
  <si>
    <t xml:space="preserve">ESTACION CENTRAL</t>
  </si>
  <si>
    <t xml:space="preserve">ANT590</t>
  </si>
  <si>
    <t xml:space="preserve">INDEPENDENCIA</t>
  </si>
  <si>
    <t xml:space="preserve">ANT591</t>
  </si>
  <si>
    <t xml:space="preserve">LA CISTERNA</t>
  </si>
  <si>
    <t xml:space="preserve">ANT594</t>
  </si>
  <si>
    <t xml:space="preserve">LA PINTANA</t>
  </si>
  <si>
    <t xml:space="preserve">ANT599</t>
  </si>
  <si>
    <t xml:space="preserve">LO PRADO</t>
  </si>
  <si>
    <t xml:space="preserve">ANT600</t>
  </si>
  <si>
    <t xml:space="preserve">MACUL</t>
  </si>
  <si>
    <t xml:space="preserve">ANT601</t>
  </si>
  <si>
    <t xml:space="preserve">MAIPU</t>
  </si>
  <si>
    <t xml:space="preserve">ANT622</t>
  </si>
  <si>
    <t xml:space="preserve">BUIN</t>
  </si>
  <si>
    <t xml:space="preserve">ANT623</t>
  </si>
  <si>
    <t xml:space="preserve">CALERA DE TANGO</t>
  </si>
  <si>
    <t xml:space="preserve">ANT625</t>
  </si>
  <si>
    <t xml:space="preserve">MELIPILLA</t>
  </si>
  <si>
    <t xml:space="preserve">ANT627</t>
  </si>
  <si>
    <t xml:space="preserve">CURACAVI</t>
  </si>
  <si>
    <t xml:space="preserve">CHI102</t>
  </si>
  <si>
    <t xml:space="preserve">1160</t>
  </si>
  <si>
    <t xml:space="preserve">TALAGANTE</t>
  </si>
  <si>
    <t xml:space="preserve">CHI105</t>
  </si>
  <si>
    <t xml:space="preserve">PADRE HURTADO</t>
  </si>
  <si>
    <t xml:space="preserve">CHI106</t>
  </si>
  <si>
    <t xml:space="preserve">PEÑAFLOR</t>
  </si>
  <si>
    <t xml:space="preserve">CHI107</t>
  </si>
  <si>
    <t xml:space="preserve">RANCAGUA</t>
  </si>
  <si>
    <t xml:space="preserve">Libertador General Bernardo O'Higgins</t>
  </si>
  <si>
    <t xml:space="preserve">CHI108</t>
  </si>
  <si>
    <t xml:space="preserve">CODEGUA</t>
  </si>
  <si>
    <t xml:space="preserve">CHI115</t>
  </si>
  <si>
    <t xml:space="preserve">MALLOA</t>
  </si>
  <si>
    <t xml:space="preserve">CHI118</t>
  </si>
  <si>
    <t xml:space="preserve">PEUMO</t>
  </si>
  <si>
    <t xml:space="preserve">CHI119</t>
  </si>
  <si>
    <t xml:space="preserve">PICHIDEGUA</t>
  </si>
  <si>
    <t xml:space="preserve">CHI121</t>
  </si>
  <si>
    <t xml:space="preserve">RENGO</t>
  </si>
  <si>
    <t xml:space="preserve">CHI128</t>
  </si>
  <si>
    <t xml:space="preserve">NAVIDAD</t>
  </si>
  <si>
    <t xml:space="preserve">CHI130</t>
  </si>
  <si>
    <t xml:space="preserve">SAN FERNANDO</t>
  </si>
  <si>
    <t xml:space="preserve">CHI131</t>
  </si>
  <si>
    <t xml:space="preserve">CHEPICA</t>
  </si>
  <si>
    <t xml:space="preserve">CHI157</t>
  </si>
  <si>
    <t xml:space="preserve">TENO</t>
  </si>
  <si>
    <t xml:space="preserve">Maule</t>
  </si>
  <si>
    <t xml:space="preserve">CHI62</t>
  </si>
  <si>
    <t xml:space="preserve">CHI63</t>
  </si>
  <si>
    <t xml:space="preserve">CHI67</t>
  </si>
  <si>
    <t xml:space="preserve">LA REINA</t>
  </si>
  <si>
    <t xml:space="preserve">CHI71</t>
  </si>
  <si>
    <t xml:space="preserve">CHI72</t>
  </si>
  <si>
    <t xml:space="preserve">CHI73</t>
  </si>
  <si>
    <t xml:space="preserve">CHI74</t>
  </si>
  <si>
    <t xml:space="preserve">ÑUÑOA</t>
  </si>
  <si>
    <t xml:space="preserve">CHI75</t>
  </si>
  <si>
    <t xml:space="preserve">PEDRO AGUIRRE CERDA</t>
  </si>
  <si>
    <t xml:space="preserve">CHI77</t>
  </si>
  <si>
    <t xml:space="preserve">PROVIDENCIA</t>
  </si>
  <si>
    <t xml:space="preserve">CHI78</t>
  </si>
  <si>
    <t xml:space="preserve">PUDAHUEL</t>
  </si>
  <si>
    <t xml:space="preserve">CHI79</t>
  </si>
  <si>
    <t xml:space="preserve">QUILICURA</t>
  </si>
  <si>
    <t xml:space="preserve">CHI83</t>
  </si>
  <si>
    <t xml:space="preserve">SAN JOAQUÍN</t>
  </si>
  <si>
    <t xml:space="preserve">CHI98</t>
  </si>
  <si>
    <t xml:space="preserve">ALHUÉ</t>
  </si>
  <si>
    <t xml:space="preserve">CHI99</t>
  </si>
  <si>
    <t xml:space="preserve">CON231</t>
  </si>
  <si>
    <t xml:space="preserve">1080</t>
  </si>
  <si>
    <t xml:space="preserve">CON642</t>
  </si>
  <si>
    <t xml:space="preserve">CON659</t>
  </si>
  <si>
    <t xml:space="preserve">CANELA</t>
  </si>
  <si>
    <t xml:space="preserve">CON662</t>
  </si>
  <si>
    <t xml:space="preserve">OVALLE</t>
  </si>
  <si>
    <t xml:space="preserve">CON663</t>
  </si>
  <si>
    <t xml:space="preserve">COMBARBALA</t>
  </si>
  <si>
    <t xml:space="preserve">CON672</t>
  </si>
  <si>
    <t xml:space="preserve">QUINTERO</t>
  </si>
  <si>
    <t xml:space="preserve">CON681</t>
  </si>
  <si>
    <t xml:space="preserve">PETORCA</t>
  </si>
  <si>
    <t xml:space="preserve">CON683</t>
  </si>
  <si>
    <t xml:space="preserve">QUILLOTA</t>
  </si>
  <si>
    <t xml:space="preserve">CON688</t>
  </si>
  <si>
    <t xml:space="preserve">ALGARROBO</t>
  </si>
  <si>
    <t xml:space="preserve">CON693</t>
  </si>
  <si>
    <t xml:space="preserve">SAN FELIPE</t>
  </si>
  <si>
    <t xml:space="preserve">CON695</t>
  </si>
  <si>
    <t xml:space="preserve">LLAILLAY</t>
  </si>
  <si>
    <t xml:space="preserve">CON703</t>
  </si>
  <si>
    <t xml:space="preserve">CERRILLOS</t>
  </si>
  <si>
    <t xml:space="preserve">CON704</t>
  </si>
  <si>
    <t xml:space="preserve">CERRO NAVIA</t>
  </si>
  <si>
    <t xml:space="preserve">CON706</t>
  </si>
  <si>
    <t xml:space="preserve">CON707</t>
  </si>
  <si>
    <t xml:space="preserve">CON713</t>
  </si>
  <si>
    <t xml:space="preserve">CON714</t>
  </si>
  <si>
    <t xml:space="preserve">CON719</t>
  </si>
  <si>
    <t xml:space="preserve">CON721</t>
  </si>
  <si>
    <t xml:space="preserve">CON722</t>
  </si>
  <si>
    <t xml:space="preserve">CON733</t>
  </si>
  <si>
    <t xml:space="preserve">VITACURA</t>
  </si>
  <si>
    <t xml:space="preserve">CON736</t>
  </si>
  <si>
    <t xml:space="preserve">TILTIL</t>
  </si>
  <si>
    <t xml:space="preserve">CON737</t>
  </si>
  <si>
    <t xml:space="preserve">PUENTE ALTO</t>
  </si>
  <si>
    <t xml:space="preserve">CON739</t>
  </si>
  <si>
    <t xml:space="preserve">SAN JOSÉ DE MAIPO</t>
  </si>
  <si>
    <t xml:space="preserve">CON740</t>
  </si>
  <si>
    <t xml:space="preserve">SAN BERNARDO</t>
  </si>
  <si>
    <t xml:space="preserve">CON742</t>
  </si>
  <si>
    <t xml:space="preserve">CON743</t>
  </si>
  <si>
    <t xml:space="preserve">PAINE</t>
  </si>
  <si>
    <t xml:space="preserve">CON744</t>
  </si>
  <si>
    <t xml:space="preserve">CON745</t>
  </si>
  <si>
    <t xml:space="preserve">CON749</t>
  </si>
  <si>
    <t xml:space="preserve">CON752</t>
  </si>
  <si>
    <t xml:space="preserve">CON753</t>
  </si>
  <si>
    <t xml:space="preserve">CON754</t>
  </si>
  <si>
    <t xml:space="preserve">CON755</t>
  </si>
  <si>
    <t xml:space="preserve">CON761</t>
  </si>
  <si>
    <t xml:space="preserve">MACHALI</t>
  </si>
  <si>
    <t xml:space="preserve">CON762</t>
  </si>
  <si>
    <t xml:space="preserve">CON763</t>
  </si>
  <si>
    <t xml:space="preserve">MOSTAZAL</t>
  </si>
  <si>
    <t xml:space="preserve">CON767</t>
  </si>
  <si>
    <t xml:space="preserve">QUINTA DE TILCOCO</t>
  </si>
  <si>
    <t xml:space="preserve">CON770</t>
  </si>
  <si>
    <t xml:space="preserve">SAN VICENTE</t>
  </si>
  <si>
    <t xml:space="preserve">CON774</t>
  </si>
  <si>
    <t xml:space="preserve">MARCHIHUE</t>
  </si>
  <si>
    <t xml:space="preserve">CON775</t>
  </si>
  <si>
    <t xml:space="preserve">CON777</t>
  </si>
  <si>
    <t xml:space="preserve">CON778</t>
  </si>
  <si>
    <t xml:space="preserve">CHIMBARONGO</t>
  </si>
  <si>
    <t xml:space="preserve">CON779</t>
  </si>
  <si>
    <t xml:space="preserve">LOLOL</t>
  </si>
  <si>
    <t xml:space="preserve">CON784</t>
  </si>
  <si>
    <t xml:space="preserve">PUMANQUE</t>
  </si>
  <si>
    <t xml:space="preserve">COQ115</t>
  </si>
  <si>
    <t xml:space="preserve">COQ116</t>
  </si>
  <si>
    <t xml:space="preserve">COQ117</t>
  </si>
  <si>
    <t xml:space="preserve">HUECHURABA</t>
  </si>
  <si>
    <t xml:space="preserve">COQ118</t>
  </si>
  <si>
    <t xml:space="preserve">COQ119</t>
  </si>
  <si>
    <t xml:space="preserve">COQ147</t>
  </si>
  <si>
    <t xml:space="preserve">PIRQUE</t>
  </si>
  <si>
    <t xml:space="preserve">COQ148</t>
  </si>
  <si>
    <t xml:space="preserve">COQ149</t>
  </si>
  <si>
    <t xml:space="preserve">COQ150</t>
  </si>
  <si>
    <t xml:space="preserve">COQ151</t>
  </si>
  <si>
    <t xml:space="preserve">COQ152</t>
  </si>
  <si>
    <t xml:space="preserve">COQ153</t>
  </si>
  <si>
    <t xml:space="preserve">COQ154</t>
  </si>
  <si>
    <t xml:space="preserve">COQ155</t>
  </si>
  <si>
    <t xml:space="preserve">LAC633</t>
  </si>
  <si>
    <t xml:space="preserve">LAC634</t>
  </si>
  <si>
    <t xml:space="preserve">LAC643</t>
  </si>
  <si>
    <t xml:space="preserve">LAC645</t>
  </si>
  <si>
    <t xml:space="preserve">LAC647</t>
  </si>
  <si>
    <t xml:space="preserve">LAC648</t>
  </si>
  <si>
    <t xml:space="preserve">LAC649</t>
  </si>
  <si>
    <t xml:space="preserve">LAC681</t>
  </si>
  <si>
    <t xml:space="preserve">PMO603</t>
  </si>
  <si>
    <t xml:space="preserve">PMO620</t>
  </si>
  <si>
    <t xml:space="preserve">PMO634</t>
  </si>
  <si>
    <t xml:space="preserve">COLINA</t>
  </si>
  <si>
    <t xml:space="preserve">RAN698</t>
  </si>
  <si>
    <t xml:space="preserve">CALLE LARGA</t>
  </si>
  <si>
    <t xml:space="preserve">RAN718</t>
  </si>
  <si>
    <t xml:space="preserve">RAN751</t>
  </si>
  <si>
    <t xml:space="preserve">RECOLETA</t>
  </si>
  <si>
    <t xml:space="preserve">RAN752</t>
  </si>
  <si>
    <t xml:space="preserve">RENCA</t>
  </si>
  <si>
    <t xml:space="preserve">RAN756</t>
  </si>
  <si>
    <t xml:space="preserve">RAN772</t>
  </si>
  <si>
    <t xml:space="preserve">BDO175</t>
  </si>
  <si>
    <t xml:space="preserve">1005</t>
  </si>
  <si>
    <t xml:space="preserve">BDO552</t>
  </si>
  <si>
    <t xml:space="preserve">BDO563</t>
  </si>
  <si>
    <t xml:space="preserve">TAL649</t>
  </si>
  <si>
    <t xml:space="preserve">PUCHUNCAVI</t>
  </si>
  <si>
    <t xml:space="preserve">TAL673</t>
  </si>
  <si>
    <t xml:space="preserve">TAL683</t>
  </si>
  <si>
    <t xml:space="preserve">SANTIAGO</t>
  </si>
  <si>
    <t xml:space="preserve">TAL684</t>
  </si>
  <si>
    <t xml:space="preserve">TAL700</t>
  </si>
  <si>
    <t xml:space="preserve">TAL717</t>
  </si>
  <si>
    <t xml:space="preserve">TAL739</t>
  </si>
  <si>
    <t xml:space="preserve">GRANEROS</t>
  </si>
  <si>
    <t xml:space="preserve">TEM698</t>
  </si>
  <si>
    <t xml:space="preserve">1090</t>
  </si>
  <si>
    <t xml:space="preserve">TEM699</t>
  </si>
  <si>
    <t xml:space="preserve">TEM704</t>
  </si>
  <si>
    <t xml:space="preserve">TEM712</t>
  </si>
  <si>
    <t xml:space="preserve">ANT586</t>
  </si>
  <si>
    <t xml:space="preserve">CONCHALI</t>
  </si>
  <si>
    <t xml:space="preserve">ANT596</t>
  </si>
  <si>
    <t xml:space="preserve">LAS CONDES</t>
  </si>
  <si>
    <t xml:space="preserve">ANT597</t>
  </si>
  <si>
    <t xml:space="preserve">LO BARNECHEA</t>
  </si>
  <si>
    <t xml:space="preserve">ANT598</t>
  </si>
  <si>
    <t xml:space="preserve">LO ESPEJO</t>
  </si>
  <si>
    <t xml:space="preserve">CHI100</t>
  </si>
  <si>
    <t xml:space="preserve">MARÍA PINTO</t>
  </si>
  <si>
    <t xml:space="preserve">CHI103</t>
  </si>
  <si>
    <t xml:space="preserve">EL MONTE</t>
  </si>
  <si>
    <t xml:space="preserve">CHI104</t>
  </si>
  <si>
    <t xml:space="preserve">ISLA DE MAIPO</t>
  </si>
  <si>
    <t xml:space="preserve">CHI155</t>
  </si>
  <si>
    <t xml:space="preserve">ROMERAL</t>
  </si>
  <si>
    <t xml:space="preserve">CHI64</t>
  </si>
  <si>
    <t xml:space="preserve">LA FLORIDA</t>
  </si>
  <si>
    <t xml:space="preserve">CHI68</t>
  </si>
  <si>
    <t xml:space="preserve">CHI69</t>
  </si>
  <si>
    <t xml:space="preserve">CHI70</t>
  </si>
  <si>
    <t xml:space="preserve">CHI76</t>
  </si>
  <si>
    <t xml:space="preserve">PEÑALOLÉN</t>
  </si>
  <si>
    <t xml:space="preserve">CON660</t>
  </si>
  <si>
    <t xml:space="preserve">LOS VILOS</t>
  </si>
  <si>
    <t xml:space="preserve">CON668</t>
  </si>
  <si>
    <t xml:space="preserve">CASABLANCA</t>
  </si>
  <si>
    <t xml:space="preserve">CON669</t>
  </si>
  <si>
    <t xml:space="preserve">CONCON</t>
  </si>
  <si>
    <t xml:space="preserve">CON680</t>
  </si>
  <si>
    <t xml:space="preserve">PAPUDO</t>
  </si>
  <si>
    <t xml:space="preserve">CON682</t>
  </si>
  <si>
    <t xml:space="preserve">ZAPALLAR</t>
  </si>
  <si>
    <t xml:space="preserve">CON684</t>
  </si>
  <si>
    <t xml:space="preserve">HIJUELAS</t>
  </si>
  <si>
    <t xml:space="preserve">CON685</t>
  </si>
  <si>
    <t xml:space="preserve">LA CRUZ</t>
  </si>
  <si>
    <t xml:space="preserve">CON686</t>
  </si>
  <si>
    <t xml:space="preserve">NOGALES</t>
  </si>
  <si>
    <t xml:space="preserve">CON687</t>
  </si>
  <si>
    <t xml:space="preserve">SAN ANTONIO</t>
  </si>
  <si>
    <t xml:space="preserve">CON694</t>
  </si>
  <si>
    <t xml:space="preserve">CATEMU</t>
  </si>
  <si>
    <t xml:space="preserve">CON712</t>
  </si>
  <si>
    <t xml:space="preserve">LA GRANJA</t>
  </si>
  <si>
    <t xml:space="preserve">CON715</t>
  </si>
  <si>
    <t xml:space="preserve">CON716</t>
  </si>
  <si>
    <t xml:space="preserve">CON747</t>
  </si>
  <si>
    <t xml:space="preserve">CON750</t>
  </si>
  <si>
    <t xml:space="preserve">CON751</t>
  </si>
  <si>
    <t xml:space="preserve">CON758</t>
  </si>
  <si>
    <t xml:space="preserve">DOÑIHUE</t>
  </si>
  <si>
    <t xml:space="preserve">CON773</t>
  </si>
  <si>
    <t xml:space="preserve">LITUECHE</t>
  </si>
  <si>
    <t xml:space="preserve">COQ001</t>
  </si>
  <si>
    <t xml:space="preserve">COQUIMBO</t>
  </si>
  <si>
    <t xml:space="preserve">COQ014</t>
  </si>
  <si>
    <t xml:space="preserve">LA HIGUERA</t>
  </si>
  <si>
    <t xml:space="preserve">COQ015</t>
  </si>
  <si>
    <t xml:space="preserve">LA SERENA</t>
  </si>
  <si>
    <t xml:space="preserve">COQ105</t>
  </si>
  <si>
    <t xml:space="preserve">PUTAENDO</t>
  </si>
  <si>
    <t xml:space="preserve">COQ120</t>
  </si>
  <si>
    <t xml:space="preserve">COQ121</t>
  </si>
  <si>
    <t xml:space="preserve">COQ156</t>
  </si>
  <si>
    <t xml:space="preserve">COQ83</t>
  </si>
  <si>
    <t xml:space="preserve">RINCONADA</t>
  </si>
  <si>
    <t xml:space="preserve">COQ95</t>
  </si>
  <si>
    <t xml:space="preserve">LAC086</t>
  </si>
  <si>
    <t xml:space="preserve">RAN699</t>
  </si>
  <si>
    <t xml:space="preserve">RAN700</t>
  </si>
  <si>
    <t xml:space="preserve">SAN ESTEBAN</t>
  </si>
  <si>
    <t xml:space="preserve">RAN720</t>
  </si>
  <si>
    <t xml:space="preserve">RAN721</t>
  </si>
  <si>
    <t xml:space="preserve">SANTA MARIA</t>
  </si>
  <si>
    <t xml:space="preserve">TAL646</t>
  </si>
  <si>
    <t xml:space="preserve">TAL661</t>
  </si>
  <si>
    <t xml:space="preserve">TAL664</t>
  </si>
  <si>
    <t xml:space="preserve">TEM720</t>
  </si>
  <si>
    <t xml:space="preserve">TEM721</t>
  </si>
  <si>
    <t xml:space="preserve">ANT573</t>
  </si>
  <si>
    <t xml:space="preserve">PAIGUANO</t>
  </si>
  <si>
    <t xml:space="preserve">CHI023</t>
  </si>
  <si>
    <t xml:space="preserve">RETIRO</t>
  </si>
  <si>
    <t xml:space="preserve">CHI039</t>
  </si>
  <si>
    <t xml:space="preserve">TUCAPEL</t>
  </si>
  <si>
    <t xml:space="preserve">Biobío</t>
  </si>
  <si>
    <t xml:space="preserve">CHI139</t>
  </si>
  <si>
    <t xml:space="preserve">SANTA CRUZ</t>
  </si>
  <si>
    <t xml:space="preserve">CON431</t>
  </si>
  <si>
    <t xml:space="preserve">SANTA JUANA</t>
  </si>
  <si>
    <t xml:space="preserve">CON664</t>
  </si>
  <si>
    <t xml:space="preserve">MONTE PATRIA</t>
  </si>
  <si>
    <t xml:space="preserve">CON666</t>
  </si>
  <si>
    <t xml:space="preserve">RIO HURTADO</t>
  </si>
  <si>
    <t xml:space="preserve">CON785</t>
  </si>
  <si>
    <t xml:space="preserve">CON800</t>
  </si>
  <si>
    <t xml:space="preserve">RAUCO</t>
  </si>
  <si>
    <t xml:space="preserve">COQ037</t>
  </si>
  <si>
    <t xml:space="preserve">VICUÑA</t>
  </si>
  <si>
    <t xml:space="preserve">COQ043</t>
  </si>
  <si>
    <t xml:space="preserve">VALLENAR</t>
  </si>
  <si>
    <t xml:space="preserve">Atacama</t>
  </si>
  <si>
    <t xml:space="preserve">LAC670</t>
  </si>
  <si>
    <t xml:space="preserve">PMO528</t>
  </si>
  <si>
    <t xml:space="preserve">CABO DE HORNOS</t>
  </si>
  <si>
    <t xml:space="preserve">RAN701</t>
  </si>
  <si>
    <t xml:space="preserve">LA LIGUA</t>
  </si>
  <si>
    <t xml:space="preserve">RAN708</t>
  </si>
  <si>
    <t xml:space="preserve">RAN709</t>
  </si>
  <si>
    <t xml:space="preserve">RAN710</t>
  </si>
  <si>
    <t xml:space="preserve">RAN719</t>
  </si>
  <si>
    <t xml:space="preserve">PANQUEHUE</t>
  </si>
  <si>
    <t xml:space="preserve">BDO553</t>
  </si>
  <si>
    <t xml:space="preserve">BDO554</t>
  </si>
  <si>
    <t xml:space="preserve">TAL667</t>
  </si>
  <si>
    <t xml:space="preserve">TAL672</t>
  </si>
  <si>
    <t xml:space="preserve">SANTO DOMINGO</t>
  </si>
  <si>
    <t xml:space="preserve">TEM444</t>
  </si>
  <si>
    <t xml:space="preserve">CHOL CHOL</t>
  </si>
  <si>
    <t xml:space="preserve">La Araucanía</t>
  </si>
  <si>
    <t xml:space="preserve">TEM483</t>
  </si>
  <si>
    <t xml:space="preserve">VILLARRICA</t>
  </si>
  <si>
    <t xml:space="preserve">SGO170</t>
  </si>
  <si>
    <t xml:space="preserve">1002</t>
  </si>
  <si>
    <t xml:space="preserve">Leyenda: columnas amarillas (KM corregido, Observación) son para completar; azul = dato cargado en SIT; KM estimado = línea recta × factor de la hoja Resumen (sólo referencia, no reemplaza la medición por carretera).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</si>
</sst>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9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B5000B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B5000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5000B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0"/>
    <col collapsed="false" customWidth="true" hidden="false" outlineLevel="0" max="3" min="3" style="1" width="10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1" t="s">
        <v>2</v>
      </c>
      <c r="B4" s="4" t="n">
        <v>1.25</v>
      </c>
      <c r="C4" s="3" t="s">
        <v>3</v>
      </c>
    </row>
    <row r="6" customFormat="false" ht="15" hidden="false" customHeight="true" outlineLevel="0" collapsed="false">
      <c r="A6" s="5" t="s">
        <v>4</v>
      </c>
      <c r="B6" s="5" t="s">
        <v>5</v>
      </c>
      <c r="C6" s="5" t="s">
        <v>6</v>
      </c>
    </row>
    <row r="7" customFormat="false" ht="15" hidden="false" customHeight="true" outlineLevel="0" collapsed="false">
      <c r="A7" s="6" t="s">
        <v>7</v>
      </c>
      <c r="B7" s="6" t="n">
        <f aca="false">COUNTIF('Rutas con distorsión'!$K$2:$K$218,A7)</f>
        <v>10</v>
      </c>
      <c r="C7" s="7" t="s">
        <v>8</v>
      </c>
    </row>
    <row r="8" customFormat="false" ht="15" hidden="false" customHeight="true" outlineLevel="0" collapsed="false">
      <c r="A8" s="6" t="s">
        <v>9</v>
      </c>
      <c r="B8" s="6" t="n">
        <f aca="false">COUNTIF('Rutas con distorsión'!$K$2:$K$218,A8)</f>
        <v>132</v>
      </c>
      <c r="C8" s="7" t="s">
        <v>10</v>
      </c>
    </row>
    <row r="9" customFormat="false" ht="15" hidden="false" customHeight="true" outlineLevel="0" collapsed="false">
      <c r="A9" s="6" t="s">
        <v>11</v>
      </c>
      <c r="B9" s="6" t="n">
        <f aca="false">COUNTIF('Rutas con distorsión'!$K$2:$K$218,A9)</f>
        <v>50</v>
      </c>
      <c r="C9" s="7" t="s">
        <v>12</v>
      </c>
    </row>
    <row r="10" customFormat="false" ht="15" hidden="false" customHeight="true" outlineLevel="0" collapsed="false">
      <c r="A10" s="6" t="s">
        <v>13</v>
      </c>
      <c r="B10" s="6" t="n">
        <f aca="false">COUNTIF('Rutas con distorsión'!$K$2:$K$218,A10)</f>
        <v>25</v>
      </c>
      <c r="C10" s="7" t="s">
        <v>14</v>
      </c>
    </row>
    <row r="11" customFormat="false" ht="15" hidden="false" customHeight="true" outlineLevel="0" collapsed="false">
      <c r="A11" s="8" t="s">
        <v>15</v>
      </c>
      <c r="B11" s="8" t="n">
        <f aca="false">SUM(B7:B10)</f>
        <v>217</v>
      </c>
    </row>
    <row r="13" customFormat="false" ht="15" hidden="false" customHeight="true" outlineLevel="0" collapsed="false">
      <c r="A13" s="8" t="s">
        <v>16</v>
      </c>
    </row>
    <row r="14" customFormat="false" ht="15" hidden="false" customHeight="true" outlineLevel="0" collapsed="false">
      <c r="A14" s="5" t="s">
        <v>17</v>
      </c>
      <c r="B14" s="5" t="s">
        <v>5</v>
      </c>
    </row>
    <row r="15" customFormat="false" ht="15" hidden="false" customHeight="true" outlineLevel="0" collapsed="false">
      <c r="A15" s="6" t="s">
        <v>18</v>
      </c>
      <c r="B15" s="6" t="n">
        <f aca="false">COUNTIF('Rutas con distorsión'!$B$2:$B$218,A15)</f>
        <v>20</v>
      </c>
    </row>
    <row r="16" customFormat="false" ht="15" hidden="false" customHeight="true" outlineLevel="0" collapsed="false">
      <c r="A16" s="6" t="s">
        <v>19</v>
      </c>
      <c r="B16" s="6" t="n">
        <f aca="false">COUNTIF('Rutas con distorsión'!$B$2:$B$218,A16)</f>
        <v>39</v>
      </c>
    </row>
    <row r="17" customFormat="false" ht="15" hidden="false" customHeight="true" outlineLevel="0" collapsed="false">
      <c r="A17" s="6" t="s">
        <v>20</v>
      </c>
      <c r="B17" s="6" t="n">
        <f aca="false">COUNTIF('Rutas con distorsión'!$B$2:$B$218,A17)</f>
        <v>68</v>
      </c>
    </row>
    <row r="18" customFormat="false" ht="15" hidden="false" customHeight="true" outlineLevel="0" collapsed="false">
      <c r="A18" s="6" t="s">
        <v>21</v>
      </c>
      <c r="B18" s="6" t="n">
        <f aca="false">COUNTIF('Rutas con distorsión'!$B$2:$B$218,A18)</f>
        <v>27</v>
      </c>
    </row>
    <row r="19" customFormat="false" ht="15" hidden="false" customHeight="true" outlineLevel="0" collapsed="false">
      <c r="A19" s="6" t="s">
        <v>22</v>
      </c>
      <c r="B19" s="6" t="n">
        <f aca="false">COUNTIF('Rutas con distorsión'!$B$2:$B$218,A19)</f>
        <v>12</v>
      </c>
    </row>
    <row r="20" customFormat="false" ht="15" hidden="false" customHeight="true" outlineLevel="0" collapsed="false">
      <c r="A20" s="6" t="s">
        <v>23</v>
      </c>
      <c r="B20" s="6" t="n">
        <f aca="false">COUNTIF('Rutas con distorsión'!$B$2:$B$218,A20)</f>
        <v>5</v>
      </c>
    </row>
    <row r="21" customFormat="false" ht="15" hidden="false" customHeight="true" outlineLevel="0" collapsed="false">
      <c r="A21" s="6" t="s">
        <v>24</v>
      </c>
      <c r="B21" s="6" t="n">
        <f aca="false">COUNTIF('Rutas con distorsión'!$B$2:$B$218,A21)</f>
        <v>18</v>
      </c>
    </row>
    <row r="22" customFormat="false" ht="15" hidden="false" customHeight="true" outlineLevel="0" collapsed="false">
      <c r="A22" s="6" t="s">
        <v>25</v>
      </c>
      <c r="B22" s="6" t="n">
        <f aca="false">COUNTIF('Rutas con distorsión'!$B$2:$B$218,A22)</f>
        <v>5</v>
      </c>
    </row>
    <row r="23" customFormat="false" ht="15" hidden="false" customHeight="true" outlineLevel="0" collapsed="false">
      <c r="A23" s="6" t="s">
        <v>26</v>
      </c>
      <c r="B23" s="6" t="n">
        <f aca="false">COUNTIF('Rutas con distorsión'!$B$2:$B$218,A23)</f>
        <v>14</v>
      </c>
    </row>
    <row r="24" customFormat="false" ht="15" hidden="false" customHeight="true" outlineLevel="0" collapsed="false">
      <c r="A24" s="6" t="s">
        <v>27</v>
      </c>
      <c r="B24" s="6" t="n">
        <f aca="false">COUNTIF('Rutas con distorsión'!$B$2:$B$218,A24)</f>
        <v>8</v>
      </c>
    </row>
    <row r="25" customFormat="false" ht="15" hidden="false" customHeight="true" outlineLevel="0" collapsed="false">
      <c r="A25" s="6" t="s">
        <v>28</v>
      </c>
      <c r="B25" s="6" t="n">
        <f aca="false">COUNTIF('Rutas con distorsión'!$B$2:$B$218,A25)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2"/>
    <col collapsed="false" customWidth="true" hidden="false" outlineLevel="0" max="3" min="3" style="1" width="9"/>
    <col collapsed="false" customWidth="true" hidden="false" outlineLevel="0" max="4" min="4" style="1" width="24"/>
    <col collapsed="false" customWidth="true" hidden="false" outlineLevel="0" max="5" min="5" style="1" width="26"/>
    <col collapsed="false" customWidth="true" hidden="false" outlineLevel="0" max="6" min="6" style="1" width="13"/>
    <col collapsed="false" customWidth="true" hidden="false" outlineLevel="0" max="7" min="7" style="1" width="11"/>
    <col collapsed="false" customWidth="true" hidden="false" outlineLevel="0" max="8" min="8" style="1" width="12"/>
    <col collapsed="false" customWidth="true" hidden="false" outlineLevel="0" max="9" min="9" style="1" width="11"/>
    <col collapsed="false" customWidth="true" hidden="false" outlineLevel="0" max="10" min="10" style="1" width="13"/>
    <col collapsed="false" customWidth="true" hidden="false" outlineLevel="0" max="11" min="11" style="1" width="28"/>
    <col collapsed="false" customWidth="true" hidden="false" outlineLevel="0" max="12" min="12" style="1" width="14"/>
    <col collapsed="false" customWidth="true" hidden="false" outlineLevel="0" max="14" min="13" style="1" width="11"/>
    <col collapsed="false" customWidth="true" hidden="false" outlineLevel="0" max="16" min="15" style="1" width="14"/>
    <col collapsed="false" customWidth="true" hidden="false" outlineLevel="0" max="17" min="17" style="0" width="48"/>
  </cols>
  <sheetData>
    <row r="1" customFormat="false" ht="45" hidden="false" customHeight="true" outlineLevel="0" collapsed="false">
      <c r="A1" s="9" t="s">
        <v>29</v>
      </c>
      <c r="B1" s="9" t="s">
        <v>30</v>
      </c>
      <c r="C1" s="9" t="s">
        <v>31</v>
      </c>
      <c r="D1" s="9" t="s">
        <v>32</v>
      </c>
      <c r="E1" s="9" t="s">
        <v>33</v>
      </c>
      <c r="F1" s="9" t="s">
        <v>34</v>
      </c>
      <c r="G1" s="9" t="s">
        <v>35</v>
      </c>
      <c r="H1" s="9" t="s">
        <v>36</v>
      </c>
      <c r="I1" s="9" t="s">
        <v>37</v>
      </c>
      <c r="J1" s="9" t="s">
        <v>38</v>
      </c>
      <c r="K1" s="9" t="s">
        <v>4</v>
      </c>
      <c r="L1" s="9" t="s">
        <v>39</v>
      </c>
      <c r="M1" s="9" t="s">
        <v>40</v>
      </c>
      <c r="N1" s="9" t="s">
        <v>41</v>
      </c>
      <c r="O1" s="10" t="s">
        <v>42</v>
      </c>
      <c r="P1" s="9" t="s">
        <v>43</v>
      </c>
      <c r="Q1" s="9" t="s">
        <v>44</v>
      </c>
    </row>
    <row r="2" customFormat="false" ht="15" hidden="false" customHeight="true" outlineLevel="0" collapsed="false">
      <c r="A2" s="11" t="s">
        <v>45</v>
      </c>
      <c r="B2" s="11" t="s">
        <v>21</v>
      </c>
      <c r="C2" s="11" t="s">
        <v>46</v>
      </c>
      <c r="D2" s="11" t="s">
        <v>47</v>
      </c>
      <c r="E2" s="11" t="s">
        <v>48</v>
      </c>
      <c r="F2" s="11" t="s">
        <v>49</v>
      </c>
      <c r="G2" s="12" t="n">
        <v>0</v>
      </c>
      <c r="H2" s="12" t="n">
        <v>794</v>
      </c>
      <c r="I2" s="13" t="n">
        <f aca="false">IF(H2=0,"",G2/H2)</f>
        <v>0</v>
      </c>
      <c r="J2" s="14" t="n">
        <f aca="false">ROUND(H2*Resumen!$B$4,0)</f>
        <v>993</v>
      </c>
      <c r="K2" s="11" t="s">
        <v>7</v>
      </c>
      <c r="L2" s="14"/>
      <c r="M2" s="11" t="n">
        <v>-33.6444501</v>
      </c>
      <c r="N2" s="11" t="n">
        <v>-78.8262238</v>
      </c>
      <c r="O2" s="15" t="n">
        <v>799</v>
      </c>
      <c r="P2" s="16"/>
      <c r="Q2" s="17" t="s">
        <v>50</v>
      </c>
    </row>
    <row r="3" customFormat="false" ht="15" hidden="false" customHeight="true" outlineLevel="0" collapsed="false">
      <c r="A3" s="11" t="s">
        <v>51</v>
      </c>
      <c r="B3" s="11" t="s">
        <v>21</v>
      </c>
      <c r="C3" s="11" t="s">
        <v>46</v>
      </c>
      <c r="D3" s="11" t="s">
        <v>52</v>
      </c>
      <c r="E3" s="11" t="s">
        <v>48</v>
      </c>
      <c r="F3" s="11" t="s">
        <v>49</v>
      </c>
      <c r="G3" s="12" t="n">
        <v>0</v>
      </c>
      <c r="H3" s="12" t="n">
        <v>3719</v>
      </c>
      <c r="I3" s="13" t="n">
        <f aca="false">IF(H3=0,"",G3/H3)</f>
        <v>0</v>
      </c>
      <c r="J3" s="14" t="n">
        <f aca="false">ROUND(H3*Resumen!$B$4,0)</f>
        <v>4649</v>
      </c>
      <c r="K3" s="11" t="s">
        <v>7</v>
      </c>
      <c r="L3" s="14"/>
      <c r="M3" s="11" t="n">
        <v>-27.1259317</v>
      </c>
      <c r="N3" s="11" t="n">
        <v>-109.3495887</v>
      </c>
      <c r="O3" s="15"/>
      <c r="P3" s="16"/>
      <c r="Q3" s="17" t="s">
        <v>50</v>
      </c>
    </row>
    <row r="4" customFormat="false" ht="15" hidden="false" customHeight="true" outlineLevel="0" collapsed="false">
      <c r="A4" s="11" t="s">
        <v>53</v>
      </c>
      <c r="B4" s="11" t="s">
        <v>22</v>
      </c>
      <c r="C4" s="11" t="s">
        <v>54</v>
      </c>
      <c r="D4" s="11" t="s">
        <v>47</v>
      </c>
      <c r="E4" s="11" t="s">
        <v>48</v>
      </c>
      <c r="F4" s="11" t="s">
        <v>55</v>
      </c>
      <c r="G4" s="12" t="n">
        <v>0</v>
      </c>
      <c r="H4" s="12" t="n">
        <v>716</v>
      </c>
      <c r="I4" s="13" t="n">
        <f aca="false">IF(H4=0,"",G4/H4)</f>
        <v>0</v>
      </c>
      <c r="J4" s="14" t="n">
        <f aca="false">ROUND(H4*Resumen!$B$4,0)</f>
        <v>895</v>
      </c>
      <c r="K4" s="11" t="s">
        <v>7</v>
      </c>
      <c r="L4" s="14"/>
      <c r="M4" s="11" t="n">
        <v>-33.6444501</v>
      </c>
      <c r="N4" s="11" t="n">
        <v>-78.8262238</v>
      </c>
      <c r="O4" s="15" t="n">
        <v>506</v>
      </c>
      <c r="P4" s="16"/>
      <c r="Q4" s="17" t="s">
        <v>50</v>
      </c>
    </row>
    <row r="5" customFormat="false" ht="15" hidden="false" customHeight="true" outlineLevel="0" collapsed="false">
      <c r="A5" s="11" t="s">
        <v>56</v>
      </c>
      <c r="B5" s="11" t="s">
        <v>22</v>
      </c>
      <c r="C5" s="11" t="s">
        <v>54</v>
      </c>
      <c r="D5" s="11" t="s">
        <v>52</v>
      </c>
      <c r="E5" s="11" t="s">
        <v>48</v>
      </c>
      <c r="F5" s="11" t="s">
        <v>55</v>
      </c>
      <c r="G5" s="12" t="n">
        <v>0</v>
      </c>
      <c r="H5" s="12" t="n">
        <v>3709</v>
      </c>
      <c r="I5" s="13" t="n">
        <f aca="false">IF(H5=0,"",G5/H5)</f>
        <v>0</v>
      </c>
      <c r="J5" s="14" t="n">
        <f aca="false">ROUND(H5*Resumen!$B$4,0)</f>
        <v>4636</v>
      </c>
      <c r="K5" s="11" t="s">
        <v>7</v>
      </c>
      <c r="L5" s="14"/>
      <c r="M5" s="11" t="n">
        <v>-27.1259317</v>
      </c>
      <c r="N5" s="11" t="n">
        <v>-109.3495887</v>
      </c>
      <c r="O5" s="15"/>
      <c r="P5" s="16"/>
      <c r="Q5" s="17" t="s">
        <v>50</v>
      </c>
    </row>
    <row r="6" customFormat="false" ht="15" hidden="false" customHeight="true" outlineLevel="0" collapsed="false">
      <c r="A6" s="11" t="s">
        <v>57</v>
      </c>
      <c r="B6" s="11" t="s">
        <v>23</v>
      </c>
      <c r="C6" s="11" t="s">
        <v>58</v>
      </c>
      <c r="D6" s="11" t="s">
        <v>59</v>
      </c>
      <c r="E6" s="11" t="s">
        <v>60</v>
      </c>
      <c r="F6" s="11" t="s">
        <v>49</v>
      </c>
      <c r="G6" s="12" t="n">
        <v>0</v>
      </c>
      <c r="H6" s="12" t="n">
        <v>1554</v>
      </c>
      <c r="I6" s="13" t="n">
        <f aca="false">IF(H6=0,"",G6/H6)</f>
        <v>0</v>
      </c>
      <c r="J6" s="14" t="n">
        <f aca="false">ROUND(H6*Resumen!$B$4,0)</f>
        <v>1943</v>
      </c>
      <c r="K6" s="11" t="s">
        <v>7</v>
      </c>
      <c r="L6" s="14"/>
      <c r="M6" s="11" t="n">
        <v>-55.1750834</v>
      </c>
      <c r="N6" s="11" t="n">
        <v>-68.6589206</v>
      </c>
      <c r="O6" s="15" t="n">
        <v>2655</v>
      </c>
      <c r="P6" s="16"/>
      <c r="Q6" s="17" t="s">
        <v>50</v>
      </c>
    </row>
    <row r="7" customFormat="false" ht="15" hidden="false" customHeight="true" outlineLevel="0" collapsed="false">
      <c r="A7" s="11" t="s">
        <v>61</v>
      </c>
      <c r="B7" s="11" t="s">
        <v>24</v>
      </c>
      <c r="C7" s="11" t="s">
        <v>62</v>
      </c>
      <c r="D7" s="11" t="s">
        <v>63</v>
      </c>
      <c r="E7" s="11" t="s">
        <v>64</v>
      </c>
      <c r="F7" s="11" t="s">
        <v>49</v>
      </c>
      <c r="G7" s="12" t="n">
        <v>0</v>
      </c>
      <c r="H7" s="12" t="n">
        <v>31</v>
      </c>
      <c r="I7" s="13" t="n">
        <f aca="false">IF(H7=0,"",G7/H7)</f>
        <v>0</v>
      </c>
      <c r="J7" s="14" t="n">
        <f aca="false">ROUND(H7*Resumen!$B$4,0)</f>
        <v>39</v>
      </c>
      <c r="K7" s="11" t="s">
        <v>7</v>
      </c>
      <c r="L7" s="14"/>
      <c r="M7" s="11" t="n">
        <v>-33.9076152</v>
      </c>
      <c r="N7" s="11" t="n">
        <v>-70.7312672</v>
      </c>
      <c r="O7" s="15" t="n">
        <v>40</v>
      </c>
      <c r="P7" s="18" t="n">
        <v>40</v>
      </c>
      <c r="Q7" s="17" t="s">
        <v>65</v>
      </c>
    </row>
    <row r="8" customFormat="false" ht="15" hidden="false" customHeight="true" outlineLevel="0" collapsed="false">
      <c r="A8" s="11" t="s">
        <v>66</v>
      </c>
      <c r="B8" s="11" t="s">
        <v>24</v>
      </c>
      <c r="C8" s="11" t="s">
        <v>62</v>
      </c>
      <c r="D8" s="11" t="s">
        <v>47</v>
      </c>
      <c r="E8" s="11" t="s">
        <v>48</v>
      </c>
      <c r="F8" s="11" t="s">
        <v>49</v>
      </c>
      <c r="G8" s="12" t="n">
        <v>0</v>
      </c>
      <c r="H8" s="12" t="n">
        <v>748</v>
      </c>
      <c r="I8" s="13" t="n">
        <f aca="false">IF(H8=0,"",G8/H8)</f>
        <v>0</v>
      </c>
      <c r="J8" s="14" t="n">
        <f aca="false">ROUND(H8*Resumen!$B$4,0)</f>
        <v>935</v>
      </c>
      <c r="K8" s="11" t="s">
        <v>7</v>
      </c>
      <c r="L8" s="14"/>
      <c r="M8" s="11" t="n">
        <v>-33.6444501</v>
      </c>
      <c r="N8" s="11" t="n">
        <v>-78.8262238</v>
      </c>
      <c r="O8" s="15" t="n">
        <v>308</v>
      </c>
      <c r="P8" s="16"/>
      <c r="Q8" s="17" t="s">
        <v>50</v>
      </c>
    </row>
    <row r="9" customFormat="false" ht="15" hidden="false" customHeight="true" outlineLevel="0" collapsed="false">
      <c r="A9" s="11" t="s">
        <v>67</v>
      </c>
      <c r="B9" s="11" t="s">
        <v>24</v>
      </c>
      <c r="C9" s="11" t="s">
        <v>62</v>
      </c>
      <c r="D9" s="11" t="s">
        <v>52</v>
      </c>
      <c r="E9" s="11" t="s">
        <v>48</v>
      </c>
      <c r="F9" s="11" t="s">
        <v>49</v>
      </c>
      <c r="G9" s="12" t="n">
        <v>0</v>
      </c>
      <c r="H9" s="12" t="n">
        <v>3752</v>
      </c>
      <c r="I9" s="13" t="n">
        <f aca="false">IF(H9=0,"",G9/H9)</f>
        <v>0</v>
      </c>
      <c r="J9" s="14" t="n">
        <f aca="false">ROUND(H9*Resumen!$B$4,0)</f>
        <v>4690</v>
      </c>
      <c r="K9" s="11" t="s">
        <v>7</v>
      </c>
      <c r="L9" s="14"/>
      <c r="M9" s="11" t="n">
        <v>-27.1259317</v>
      </c>
      <c r="N9" s="11" t="n">
        <v>-109.3495887</v>
      </c>
      <c r="O9" s="15"/>
      <c r="P9" s="16"/>
      <c r="Q9" s="17" t="s">
        <v>50</v>
      </c>
    </row>
    <row r="10" customFormat="false" ht="15" hidden="false" customHeight="true" outlineLevel="0" collapsed="false">
      <c r="A10" s="11" t="s">
        <v>68</v>
      </c>
      <c r="B10" s="11" t="s">
        <v>26</v>
      </c>
      <c r="C10" s="11" t="s">
        <v>69</v>
      </c>
      <c r="D10" s="11" t="s">
        <v>47</v>
      </c>
      <c r="E10" s="11" t="s">
        <v>48</v>
      </c>
      <c r="F10" s="11" t="s">
        <v>49</v>
      </c>
      <c r="G10" s="12" t="n">
        <v>0</v>
      </c>
      <c r="H10" s="12" t="n">
        <v>688</v>
      </c>
      <c r="I10" s="13" t="n">
        <f aca="false">IF(H10=0,"",G10/H10)</f>
        <v>0</v>
      </c>
      <c r="J10" s="14" t="n">
        <f aca="false">ROUND(H10*Resumen!$B$4,0)</f>
        <v>860</v>
      </c>
      <c r="K10" s="11" t="s">
        <v>7</v>
      </c>
      <c r="L10" s="14"/>
      <c r="M10" s="11" t="n">
        <v>-33.6444501</v>
      </c>
      <c r="N10" s="11" t="n">
        <v>-78.8262238</v>
      </c>
      <c r="O10" s="15" t="n">
        <v>138</v>
      </c>
      <c r="P10" s="16"/>
      <c r="Q10" s="17" t="s">
        <v>50</v>
      </c>
    </row>
    <row r="11" customFormat="false" ht="15" hidden="false" customHeight="true" outlineLevel="0" collapsed="false">
      <c r="A11" s="11" t="s">
        <v>70</v>
      </c>
      <c r="B11" s="11" t="s">
        <v>26</v>
      </c>
      <c r="C11" s="11" t="s">
        <v>69</v>
      </c>
      <c r="D11" s="11" t="s">
        <v>52</v>
      </c>
      <c r="E11" s="11" t="s">
        <v>48</v>
      </c>
      <c r="F11" s="11" t="s">
        <v>49</v>
      </c>
      <c r="G11" s="12" t="n">
        <v>0</v>
      </c>
      <c r="H11" s="12" t="n">
        <v>3676</v>
      </c>
      <c r="I11" s="13" t="n">
        <f aca="false">IF(H11=0,"",G11/H11)</f>
        <v>0</v>
      </c>
      <c r="J11" s="14" t="n">
        <f aca="false">ROUND(H11*Resumen!$B$4,0)</f>
        <v>4595</v>
      </c>
      <c r="K11" s="11" t="s">
        <v>7</v>
      </c>
      <c r="L11" s="14"/>
      <c r="M11" s="11" t="n">
        <v>-27.1259317</v>
      </c>
      <c r="N11" s="11" t="n">
        <v>-109.3495887</v>
      </c>
      <c r="O11" s="15"/>
      <c r="P11" s="16"/>
      <c r="Q11" s="17" t="s">
        <v>50</v>
      </c>
    </row>
    <row r="12" customFormat="false" ht="15" hidden="false" customHeight="true" outlineLevel="0" collapsed="false">
      <c r="A12" s="11" t="s">
        <v>71</v>
      </c>
      <c r="B12" s="11" t="s">
        <v>18</v>
      </c>
      <c r="C12" s="11" t="s">
        <v>72</v>
      </c>
      <c r="D12" s="11" t="s">
        <v>73</v>
      </c>
      <c r="E12" s="11" t="s">
        <v>48</v>
      </c>
      <c r="F12" s="11" t="s">
        <v>49</v>
      </c>
      <c r="G12" s="12" t="n">
        <v>104</v>
      </c>
      <c r="H12" s="12" t="n">
        <v>1027</v>
      </c>
      <c r="I12" s="13" t="n">
        <f aca="false">IF(H12=0,"",G12/H12)</f>
        <v>0.10126582278481</v>
      </c>
      <c r="J12" s="14" t="n">
        <f aca="false">ROUND(H12*Resumen!$B$4,0)</f>
        <v>1284</v>
      </c>
      <c r="K12" s="11" t="s">
        <v>9</v>
      </c>
      <c r="L12" s="14" t="n">
        <v>103</v>
      </c>
      <c r="M12" s="11" t="n">
        <v>-32.7871293</v>
      </c>
      <c r="N12" s="11" t="n">
        <v>-71.1857769</v>
      </c>
      <c r="O12" s="15" t="n">
        <v>1231</v>
      </c>
      <c r="P12" s="18" t="n">
        <v>1231</v>
      </c>
      <c r="Q12" s="17" t="s">
        <v>65</v>
      </c>
    </row>
    <row r="13" customFormat="false" ht="15" hidden="false" customHeight="true" outlineLevel="0" collapsed="false">
      <c r="A13" s="11" t="s">
        <v>74</v>
      </c>
      <c r="B13" s="11" t="s">
        <v>18</v>
      </c>
      <c r="C13" s="11" t="s">
        <v>72</v>
      </c>
      <c r="D13" s="11" t="s">
        <v>75</v>
      </c>
      <c r="E13" s="11" t="s">
        <v>76</v>
      </c>
      <c r="F13" s="11" t="s">
        <v>49</v>
      </c>
      <c r="G13" s="12" t="n">
        <v>273</v>
      </c>
      <c r="H13" s="12" t="n">
        <v>899</v>
      </c>
      <c r="I13" s="13" t="n">
        <f aca="false">IF(H13=0,"",G13/H13)</f>
        <v>0.303670745272525</v>
      </c>
      <c r="J13" s="14" t="n">
        <f aca="false">ROUND(H13*Resumen!$B$4,0)</f>
        <v>1124</v>
      </c>
      <c r="K13" s="11" t="s">
        <v>9</v>
      </c>
      <c r="L13" s="14" t="n">
        <v>272</v>
      </c>
      <c r="M13" s="11" t="n">
        <v>-31.6353704</v>
      </c>
      <c r="N13" s="11" t="n">
        <v>-71.1688783</v>
      </c>
      <c r="O13" s="15" t="n">
        <v>1126</v>
      </c>
      <c r="P13" s="18" t="n">
        <v>1126</v>
      </c>
      <c r="Q13" s="17" t="s">
        <v>65</v>
      </c>
    </row>
    <row r="14" customFormat="false" ht="15" hidden="false" customHeight="true" outlineLevel="0" collapsed="false">
      <c r="A14" s="11" t="s">
        <v>77</v>
      </c>
      <c r="B14" s="11" t="s">
        <v>18</v>
      </c>
      <c r="C14" s="11" t="s">
        <v>72</v>
      </c>
      <c r="D14" s="11" t="s">
        <v>78</v>
      </c>
      <c r="E14" s="11" t="s">
        <v>76</v>
      </c>
      <c r="F14" s="11" t="s">
        <v>49</v>
      </c>
      <c r="G14" s="12" t="n">
        <v>290</v>
      </c>
      <c r="H14" s="12" t="n">
        <v>913</v>
      </c>
      <c r="I14" s="13" t="n">
        <f aca="false">IF(H14=0,"",G14/H14)</f>
        <v>0.31763417305586</v>
      </c>
      <c r="J14" s="14" t="n">
        <f aca="false">ROUND(H14*Resumen!$B$4,0)</f>
        <v>1141</v>
      </c>
      <c r="K14" s="11" t="s">
        <v>9</v>
      </c>
      <c r="L14" s="14" t="n">
        <v>289</v>
      </c>
      <c r="M14" s="11" t="n">
        <v>-31.7739062</v>
      </c>
      <c r="N14" s="11" t="n">
        <v>-70.960106</v>
      </c>
      <c r="O14" s="15" t="n">
        <v>1159</v>
      </c>
      <c r="P14" s="18" t="n">
        <v>1159</v>
      </c>
      <c r="Q14" s="17" t="s">
        <v>65</v>
      </c>
    </row>
    <row r="15" customFormat="false" ht="15" hidden="false" customHeight="true" outlineLevel="0" collapsed="false">
      <c r="A15" s="11" t="s">
        <v>79</v>
      </c>
      <c r="B15" s="11" t="s">
        <v>18</v>
      </c>
      <c r="C15" s="11" t="s">
        <v>72</v>
      </c>
      <c r="D15" s="11" t="s">
        <v>80</v>
      </c>
      <c r="E15" s="11" t="s">
        <v>64</v>
      </c>
      <c r="F15" s="11" t="s">
        <v>49</v>
      </c>
      <c r="G15" s="12" t="n">
        <v>30</v>
      </c>
      <c r="H15" s="12" t="n">
        <v>1109</v>
      </c>
      <c r="I15" s="13" t="n">
        <f aca="false">IF(H15=0,"",G15/H15)</f>
        <v>0.0270513976555455</v>
      </c>
      <c r="J15" s="14" t="n">
        <f aca="false">ROUND(H15*Resumen!$B$4,0)</f>
        <v>1386</v>
      </c>
      <c r="K15" s="11" t="s">
        <v>9</v>
      </c>
      <c r="L15" s="14" t="n">
        <v>28</v>
      </c>
      <c r="M15" s="11" t="n">
        <v>-33.5465722</v>
      </c>
      <c r="N15" s="11" t="n">
        <v>-70.6667515</v>
      </c>
      <c r="O15" s="15" t="n">
        <v>1353</v>
      </c>
      <c r="P15" s="18" t="n">
        <v>1353</v>
      </c>
      <c r="Q15" s="17" t="s">
        <v>65</v>
      </c>
    </row>
    <row r="16" customFormat="false" ht="15" hidden="false" customHeight="true" outlineLevel="0" collapsed="false">
      <c r="A16" s="11" t="s">
        <v>81</v>
      </c>
      <c r="B16" s="11" t="s">
        <v>18</v>
      </c>
      <c r="C16" s="11" t="s">
        <v>72</v>
      </c>
      <c r="D16" s="11" t="s">
        <v>82</v>
      </c>
      <c r="E16" s="11" t="s">
        <v>64</v>
      </c>
      <c r="F16" s="11" t="s">
        <v>49</v>
      </c>
      <c r="G16" s="12" t="n">
        <v>14</v>
      </c>
      <c r="H16" s="12" t="n">
        <v>1098</v>
      </c>
      <c r="I16" s="13" t="n">
        <f aca="false">IF(H16=0,"",G16/H16)</f>
        <v>0.0127504553734062</v>
      </c>
      <c r="J16" s="14" t="n">
        <f aca="false">ROUND(H16*Resumen!$B$4,0)</f>
        <v>1373</v>
      </c>
      <c r="K16" s="11" t="s">
        <v>9</v>
      </c>
      <c r="L16" s="14" t="n">
        <v>15</v>
      </c>
      <c r="M16" s="11" t="n">
        <v>-33.4522248</v>
      </c>
      <c r="N16" s="11" t="n">
        <v>-70.6790511</v>
      </c>
      <c r="O16" s="15" t="n">
        <v>1341</v>
      </c>
      <c r="P16" s="18" t="n">
        <v>1341</v>
      </c>
      <c r="Q16" s="17" t="s">
        <v>65</v>
      </c>
    </row>
    <row r="17" customFormat="false" ht="15" hidden="false" customHeight="true" outlineLevel="0" collapsed="false">
      <c r="A17" s="11" t="s">
        <v>83</v>
      </c>
      <c r="B17" s="11" t="s">
        <v>18</v>
      </c>
      <c r="C17" s="11" t="s">
        <v>72</v>
      </c>
      <c r="D17" s="11" t="s">
        <v>84</v>
      </c>
      <c r="E17" s="11" t="s">
        <v>64</v>
      </c>
      <c r="F17" s="11" t="s">
        <v>49</v>
      </c>
      <c r="G17" s="12" t="n">
        <v>12</v>
      </c>
      <c r="H17" s="12" t="n">
        <v>1095</v>
      </c>
      <c r="I17" s="13" t="n">
        <f aca="false">IF(H17=0,"",G17/H17)</f>
        <v>0.010958904109589</v>
      </c>
      <c r="J17" s="14" t="n">
        <f aca="false">ROUND(H17*Resumen!$B$4,0)</f>
        <v>1369</v>
      </c>
      <c r="K17" s="11" t="s">
        <v>9</v>
      </c>
      <c r="L17" s="14" t="n">
        <v>11</v>
      </c>
      <c r="M17" s="11" t="n">
        <v>-33.4195653</v>
      </c>
      <c r="N17" s="11" t="n">
        <v>-70.6696145</v>
      </c>
      <c r="O17" s="15" t="n">
        <v>1336</v>
      </c>
      <c r="P17" s="18" t="n">
        <v>1336</v>
      </c>
      <c r="Q17" s="17" t="s">
        <v>65</v>
      </c>
    </row>
    <row r="18" customFormat="false" ht="15" hidden="false" customHeight="true" outlineLevel="0" collapsed="false">
      <c r="A18" s="11" t="s">
        <v>85</v>
      </c>
      <c r="B18" s="11" t="s">
        <v>18</v>
      </c>
      <c r="C18" s="11" t="s">
        <v>72</v>
      </c>
      <c r="D18" s="11" t="s">
        <v>86</v>
      </c>
      <c r="E18" s="11" t="s">
        <v>64</v>
      </c>
      <c r="F18" s="11" t="s">
        <v>49</v>
      </c>
      <c r="G18" s="12" t="n">
        <v>24</v>
      </c>
      <c r="H18" s="12" t="n">
        <v>1108</v>
      </c>
      <c r="I18" s="13" t="n">
        <f aca="false">IF(H18=0,"",G18/H18)</f>
        <v>0.0216606498194946</v>
      </c>
      <c r="J18" s="14" t="n">
        <f aca="false">ROUND(H18*Resumen!$B$4,0)</f>
        <v>1385</v>
      </c>
      <c r="K18" s="11" t="s">
        <v>9</v>
      </c>
      <c r="L18" s="14" t="n">
        <v>26</v>
      </c>
      <c r="M18" s="11" t="n">
        <v>-33.5373498</v>
      </c>
      <c r="N18" s="11" t="n">
        <v>-70.6643328</v>
      </c>
      <c r="O18" s="15" t="n">
        <v>1352</v>
      </c>
      <c r="P18" s="18" t="n">
        <v>1352</v>
      </c>
      <c r="Q18" s="17" t="s">
        <v>65</v>
      </c>
    </row>
    <row r="19" customFormat="false" ht="15" hidden="false" customHeight="true" outlineLevel="0" collapsed="false">
      <c r="A19" s="11" t="s">
        <v>87</v>
      </c>
      <c r="B19" s="11" t="s">
        <v>18</v>
      </c>
      <c r="C19" s="11" t="s">
        <v>72</v>
      </c>
      <c r="D19" s="11" t="s">
        <v>88</v>
      </c>
      <c r="E19" s="11" t="s">
        <v>64</v>
      </c>
      <c r="F19" s="11" t="s">
        <v>49</v>
      </c>
      <c r="G19" s="12" t="n">
        <v>34</v>
      </c>
      <c r="H19" s="12" t="n">
        <v>1112</v>
      </c>
      <c r="I19" s="13" t="n">
        <f aca="false">IF(H19=0,"",G19/H19)</f>
        <v>0.0305755395683453</v>
      </c>
      <c r="J19" s="14" t="n">
        <f aca="false">ROUND(H19*Resumen!$B$4,0)</f>
        <v>1390</v>
      </c>
      <c r="K19" s="11" t="s">
        <v>9</v>
      </c>
      <c r="L19" s="14" t="n">
        <v>33</v>
      </c>
      <c r="M19" s="11" t="n">
        <v>-33.5746134</v>
      </c>
      <c r="N19" s="11" t="n">
        <v>-70.6321291</v>
      </c>
      <c r="O19" s="15" t="n">
        <v>1358</v>
      </c>
      <c r="P19" s="18" t="n">
        <v>1358</v>
      </c>
      <c r="Q19" s="17" t="s">
        <v>65</v>
      </c>
    </row>
    <row r="20" customFormat="false" ht="15" hidden="false" customHeight="true" outlineLevel="0" collapsed="false">
      <c r="A20" s="11" t="s">
        <v>89</v>
      </c>
      <c r="B20" s="11" t="s">
        <v>18</v>
      </c>
      <c r="C20" s="11" t="s">
        <v>72</v>
      </c>
      <c r="D20" s="11" t="s">
        <v>90</v>
      </c>
      <c r="E20" s="11" t="s">
        <v>64</v>
      </c>
      <c r="F20" s="11" t="s">
        <v>49</v>
      </c>
      <c r="G20" s="12" t="n">
        <v>15</v>
      </c>
      <c r="H20" s="12" t="n">
        <v>1097</v>
      </c>
      <c r="I20" s="13" t="n">
        <f aca="false">IF(H20=0,"",G20/H20)</f>
        <v>0.0136736554238833</v>
      </c>
      <c r="J20" s="14" t="n">
        <f aca="false">ROUND(H20*Resumen!$B$4,0)</f>
        <v>1371</v>
      </c>
      <c r="K20" s="11" t="s">
        <v>9</v>
      </c>
      <c r="L20" s="14" t="n">
        <v>17</v>
      </c>
      <c r="M20" s="11" t="n">
        <v>-33.4434094</v>
      </c>
      <c r="N20" s="11" t="n">
        <v>-70.7167535</v>
      </c>
      <c r="O20" s="15" t="n">
        <v>1340</v>
      </c>
      <c r="P20" s="18" t="n">
        <v>1340</v>
      </c>
      <c r="Q20" s="17" t="s">
        <v>65</v>
      </c>
    </row>
    <row r="21" customFormat="false" ht="15" hidden="false" customHeight="true" outlineLevel="0" collapsed="false">
      <c r="A21" s="11" t="s">
        <v>91</v>
      </c>
      <c r="B21" s="11" t="s">
        <v>18</v>
      </c>
      <c r="C21" s="11" t="s">
        <v>72</v>
      </c>
      <c r="D21" s="11" t="s">
        <v>92</v>
      </c>
      <c r="E21" s="11" t="s">
        <v>64</v>
      </c>
      <c r="F21" s="11" t="s">
        <v>49</v>
      </c>
      <c r="G21" s="12" t="n">
        <v>25</v>
      </c>
      <c r="H21" s="12" t="n">
        <v>1104</v>
      </c>
      <c r="I21" s="13" t="n">
        <f aca="false">IF(H21=0,"",G21/H21)</f>
        <v>0.0226449275362319</v>
      </c>
      <c r="J21" s="14" t="n">
        <f aca="false">ROUND(H21*Resumen!$B$4,0)</f>
        <v>1380</v>
      </c>
      <c r="K21" s="11" t="s">
        <v>9</v>
      </c>
      <c r="L21" s="14" t="n">
        <v>25</v>
      </c>
      <c r="M21" s="11" t="n">
        <v>-33.5092379</v>
      </c>
      <c r="N21" s="11" t="n">
        <v>-70.5900473</v>
      </c>
      <c r="O21" s="15" t="n">
        <v>1355</v>
      </c>
      <c r="P21" s="18" t="n">
        <v>1355</v>
      </c>
      <c r="Q21" s="17" t="s">
        <v>65</v>
      </c>
    </row>
    <row r="22" customFormat="false" ht="15" hidden="false" customHeight="true" outlineLevel="0" collapsed="false">
      <c r="A22" s="11" t="s">
        <v>93</v>
      </c>
      <c r="B22" s="11" t="s">
        <v>18</v>
      </c>
      <c r="C22" s="11" t="s">
        <v>72</v>
      </c>
      <c r="D22" s="11" t="s">
        <v>94</v>
      </c>
      <c r="E22" s="11" t="s">
        <v>64</v>
      </c>
      <c r="F22" s="11" t="s">
        <v>49</v>
      </c>
      <c r="G22" s="12" t="n">
        <v>26</v>
      </c>
      <c r="H22" s="12" t="n">
        <v>1105</v>
      </c>
      <c r="I22" s="13" t="n">
        <f aca="false">IF(H22=0,"",G22/H22)</f>
        <v>0.0235294117647059</v>
      </c>
      <c r="J22" s="14" t="n">
        <f aca="false">ROUND(H22*Resumen!$B$4,0)</f>
        <v>1381</v>
      </c>
      <c r="K22" s="11" t="s">
        <v>9</v>
      </c>
      <c r="L22" s="14" t="n">
        <v>26</v>
      </c>
      <c r="M22" s="11" t="n">
        <v>-33.5099332</v>
      </c>
      <c r="N22" s="11" t="n">
        <v>-70.7573092</v>
      </c>
      <c r="O22" s="15" t="n">
        <v>1352</v>
      </c>
      <c r="P22" s="18" t="n">
        <v>1352</v>
      </c>
      <c r="Q22" s="17" t="s">
        <v>65</v>
      </c>
    </row>
    <row r="23" customFormat="false" ht="15" hidden="false" customHeight="true" outlineLevel="0" collapsed="false">
      <c r="A23" s="11" t="s">
        <v>95</v>
      </c>
      <c r="B23" s="11" t="s">
        <v>18</v>
      </c>
      <c r="C23" s="11" t="s">
        <v>72</v>
      </c>
      <c r="D23" s="11" t="s">
        <v>96</v>
      </c>
      <c r="E23" s="11" t="s">
        <v>64</v>
      </c>
      <c r="F23" s="11" t="s">
        <v>49</v>
      </c>
      <c r="G23" s="12" t="n">
        <v>47</v>
      </c>
      <c r="H23" s="12" t="n">
        <v>1129</v>
      </c>
      <c r="I23" s="13" t="n">
        <f aca="false">IF(H23=0,"",G23/H23)</f>
        <v>0.04162976085031</v>
      </c>
      <c r="J23" s="14" t="n">
        <f aca="false">ROUND(H23*Resumen!$B$4,0)</f>
        <v>1411</v>
      </c>
      <c r="K23" s="11" t="s">
        <v>9</v>
      </c>
      <c r="L23" s="14" t="n">
        <v>47</v>
      </c>
      <c r="M23" s="11" t="n">
        <v>-33.7323649</v>
      </c>
      <c r="N23" s="11" t="n">
        <v>-70.7284333</v>
      </c>
      <c r="O23" s="15" t="n">
        <v>1372</v>
      </c>
      <c r="P23" s="18" t="n">
        <v>1372</v>
      </c>
      <c r="Q23" s="17" t="s">
        <v>65</v>
      </c>
    </row>
    <row r="24" customFormat="false" ht="15" hidden="false" customHeight="true" outlineLevel="0" collapsed="false">
      <c r="A24" s="11" t="s">
        <v>97</v>
      </c>
      <c r="B24" s="11" t="s">
        <v>18</v>
      </c>
      <c r="C24" s="11" t="s">
        <v>72</v>
      </c>
      <c r="D24" s="11" t="s">
        <v>98</v>
      </c>
      <c r="E24" s="11" t="s">
        <v>64</v>
      </c>
      <c r="F24" s="11" t="s">
        <v>49</v>
      </c>
      <c r="G24" s="12" t="n">
        <v>35</v>
      </c>
      <c r="H24" s="12" t="n">
        <v>1118</v>
      </c>
      <c r="I24" s="13" t="n">
        <f aca="false">IF(H24=0,"",G24/H24)</f>
        <v>0.0313059033989267</v>
      </c>
      <c r="J24" s="14" t="n">
        <f aca="false">ROUND(H24*Resumen!$B$4,0)</f>
        <v>1398</v>
      </c>
      <c r="K24" s="11" t="s">
        <v>9</v>
      </c>
      <c r="L24" s="14" t="n">
        <v>37</v>
      </c>
      <c r="M24" s="11" t="n">
        <v>-33.6307372</v>
      </c>
      <c r="N24" s="11" t="n">
        <v>-70.7591428</v>
      </c>
      <c r="O24" s="15" t="n">
        <v>1364</v>
      </c>
      <c r="P24" s="18" t="n">
        <v>1364</v>
      </c>
      <c r="Q24" s="17" t="s">
        <v>65</v>
      </c>
    </row>
    <row r="25" customFormat="false" ht="15" hidden="false" customHeight="true" outlineLevel="0" collapsed="false">
      <c r="A25" s="11" t="s">
        <v>99</v>
      </c>
      <c r="B25" s="11" t="s">
        <v>18</v>
      </c>
      <c r="C25" s="11" t="s">
        <v>72</v>
      </c>
      <c r="D25" s="11" t="s">
        <v>100</v>
      </c>
      <c r="E25" s="11" t="s">
        <v>64</v>
      </c>
      <c r="F25" s="11" t="s">
        <v>49</v>
      </c>
      <c r="G25" s="12" t="n">
        <v>82</v>
      </c>
      <c r="H25" s="12" t="n">
        <v>1126</v>
      </c>
      <c r="I25" s="13" t="n">
        <f aca="false">IF(H25=0,"",G25/H25)</f>
        <v>0.0728241563055062</v>
      </c>
      <c r="J25" s="14" t="n">
        <f aca="false">ROUND(H25*Resumen!$B$4,0)</f>
        <v>1408</v>
      </c>
      <c r="K25" s="11" t="s">
        <v>9</v>
      </c>
      <c r="L25" s="14" t="n">
        <v>82</v>
      </c>
      <c r="M25" s="11" t="n">
        <v>-33.6796771</v>
      </c>
      <c r="N25" s="11" t="n">
        <v>-71.2109877</v>
      </c>
      <c r="O25" s="15" t="n">
        <v>1407</v>
      </c>
      <c r="P25" s="18" t="n">
        <v>1407</v>
      </c>
      <c r="Q25" s="17" t="s">
        <v>65</v>
      </c>
    </row>
    <row r="26" customFormat="false" ht="15" hidden="false" customHeight="true" outlineLevel="0" collapsed="false">
      <c r="A26" s="11" t="s">
        <v>101</v>
      </c>
      <c r="B26" s="11" t="s">
        <v>18</v>
      </c>
      <c r="C26" s="11" t="s">
        <v>72</v>
      </c>
      <c r="D26" s="11" t="s">
        <v>102</v>
      </c>
      <c r="E26" s="11" t="s">
        <v>64</v>
      </c>
      <c r="F26" s="11" t="s">
        <v>49</v>
      </c>
      <c r="G26" s="12" t="n">
        <v>57</v>
      </c>
      <c r="H26" s="12" t="n">
        <v>1094</v>
      </c>
      <c r="I26" s="13" t="n">
        <f aca="false">IF(H26=0,"",G26/H26)</f>
        <v>0.0521023765996344</v>
      </c>
      <c r="J26" s="14" t="n">
        <f aca="false">ROUND(H26*Resumen!$B$4,0)</f>
        <v>1368</v>
      </c>
      <c r="K26" s="11" t="s">
        <v>9</v>
      </c>
      <c r="L26" s="14" t="n">
        <v>57</v>
      </c>
      <c r="M26" s="11" t="n">
        <v>-33.3946803</v>
      </c>
      <c r="N26" s="11" t="n">
        <v>-71.1691385</v>
      </c>
      <c r="O26" s="15" t="n">
        <v>1337</v>
      </c>
      <c r="P26" s="18" t="n">
        <v>1337</v>
      </c>
      <c r="Q26" s="17" t="s">
        <v>65</v>
      </c>
    </row>
    <row r="27" customFormat="false" ht="15" hidden="false" customHeight="true" outlineLevel="0" collapsed="false">
      <c r="A27" s="11" t="s">
        <v>103</v>
      </c>
      <c r="B27" s="11" t="s">
        <v>19</v>
      </c>
      <c r="C27" s="11" t="s">
        <v>104</v>
      </c>
      <c r="D27" s="11" t="s">
        <v>105</v>
      </c>
      <c r="E27" s="11" t="s">
        <v>64</v>
      </c>
      <c r="F27" s="11" t="s">
        <v>49</v>
      </c>
      <c r="G27" s="12" t="n">
        <v>54</v>
      </c>
      <c r="H27" s="12" t="n">
        <v>347</v>
      </c>
      <c r="I27" s="13" t="n">
        <f aca="false">IF(H27=0,"",G27/H27)</f>
        <v>0.155619596541787</v>
      </c>
      <c r="J27" s="14" t="n">
        <f aca="false">ROUND(H27*Resumen!$B$4,0)</f>
        <v>434</v>
      </c>
      <c r="K27" s="11" t="s">
        <v>9</v>
      </c>
      <c r="L27" s="14" t="n">
        <v>54</v>
      </c>
      <c r="M27" s="11" t="n">
        <v>-33.6592519</v>
      </c>
      <c r="N27" s="11" t="n">
        <v>-70.9272695</v>
      </c>
      <c r="O27" s="15" t="n">
        <v>391</v>
      </c>
      <c r="P27" s="18" t="n">
        <v>391</v>
      </c>
      <c r="Q27" s="17" t="s">
        <v>65</v>
      </c>
    </row>
    <row r="28" customFormat="false" ht="15" hidden="false" customHeight="true" outlineLevel="0" collapsed="false">
      <c r="A28" s="11" t="s">
        <v>106</v>
      </c>
      <c r="B28" s="11" t="s">
        <v>19</v>
      </c>
      <c r="C28" s="11" t="s">
        <v>104</v>
      </c>
      <c r="D28" s="11" t="s">
        <v>107</v>
      </c>
      <c r="E28" s="11" t="s">
        <v>64</v>
      </c>
      <c r="F28" s="11" t="s">
        <v>49</v>
      </c>
      <c r="G28" s="12" t="n">
        <v>37</v>
      </c>
      <c r="H28" s="12" t="n">
        <v>360</v>
      </c>
      <c r="I28" s="13" t="n">
        <f aca="false">IF(H28=0,"",G28/H28)</f>
        <v>0.102777777777778</v>
      </c>
      <c r="J28" s="14" t="n">
        <f aca="false">ROUND(H28*Resumen!$B$4,0)</f>
        <v>450</v>
      </c>
      <c r="K28" s="11" t="s">
        <v>9</v>
      </c>
      <c r="L28" s="14" t="n">
        <v>37</v>
      </c>
      <c r="M28" s="11" t="n">
        <v>-33.5678013</v>
      </c>
      <c r="N28" s="11" t="n">
        <v>-70.8156797</v>
      </c>
      <c r="O28" s="15" t="n">
        <v>401</v>
      </c>
      <c r="P28" s="18" t="n">
        <v>401</v>
      </c>
      <c r="Q28" s="17" t="s">
        <v>65</v>
      </c>
    </row>
    <row r="29" customFormat="false" ht="15" hidden="false" customHeight="true" outlineLevel="0" collapsed="false">
      <c r="A29" s="11" t="s">
        <v>108</v>
      </c>
      <c r="B29" s="11" t="s">
        <v>19</v>
      </c>
      <c r="C29" s="11" t="s">
        <v>104</v>
      </c>
      <c r="D29" s="11" t="s">
        <v>109</v>
      </c>
      <c r="E29" s="11" t="s">
        <v>64</v>
      </c>
      <c r="F29" s="11" t="s">
        <v>49</v>
      </c>
      <c r="G29" s="12" t="n">
        <v>48</v>
      </c>
      <c r="H29" s="12" t="n">
        <v>353</v>
      </c>
      <c r="I29" s="13" t="n">
        <f aca="false">IF(H29=0,"",G29/H29)</f>
        <v>0.135977337110482</v>
      </c>
      <c r="J29" s="14" t="n">
        <f aca="false">ROUND(H29*Resumen!$B$4,0)</f>
        <v>441</v>
      </c>
      <c r="K29" s="11" t="s">
        <v>9</v>
      </c>
      <c r="L29" s="14" t="n">
        <v>48</v>
      </c>
      <c r="M29" s="11" t="n">
        <v>-33.6080054</v>
      </c>
      <c r="N29" s="11" t="n">
        <v>-70.9074328</v>
      </c>
      <c r="O29" s="15" t="n">
        <v>398</v>
      </c>
      <c r="P29" s="18" t="n">
        <v>398</v>
      </c>
      <c r="Q29" s="17" t="s">
        <v>65</v>
      </c>
    </row>
    <row r="30" customFormat="false" ht="15" hidden="false" customHeight="true" outlineLevel="0" collapsed="false">
      <c r="A30" s="11" t="s">
        <v>110</v>
      </c>
      <c r="B30" s="11" t="s">
        <v>19</v>
      </c>
      <c r="C30" s="11" t="s">
        <v>104</v>
      </c>
      <c r="D30" s="11" t="s">
        <v>111</v>
      </c>
      <c r="E30" s="11" t="s">
        <v>112</v>
      </c>
      <c r="F30" s="11" t="s">
        <v>49</v>
      </c>
      <c r="G30" s="12" t="n">
        <v>99</v>
      </c>
      <c r="H30" s="12" t="n">
        <v>299</v>
      </c>
      <c r="I30" s="13" t="n">
        <f aca="false">IF(H30=0,"",G30/H30)</f>
        <v>0.331103678929766</v>
      </c>
      <c r="J30" s="14" t="n">
        <f aca="false">ROUND(H30*Resumen!$B$4,0)</f>
        <v>374</v>
      </c>
      <c r="K30" s="11" t="s">
        <v>9</v>
      </c>
      <c r="L30" s="14" t="n">
        <v>98</v>
      </c>
      <c r="M30" s="11" t="n">
        <v>-34.1707999</v>
      </c>
      <c r="N30" s="11" t="n">
        <v>-70.7531065</v>
      </c>
      <c r="O30" s="15" t="n">
        <v>321</v>
      </c>
      <c r="P30" s="18" t="n">
        <v>321</v>
      </c>
      <c r="Q30" s="17" t="s">
        <v>65</v>
      </c>
    </row>
    <row r="31" customFormat="false" ht="15" hidden="false" customHeight="true" outlineLevel="0" collapsed="false">
      <c r="A31" s="11" t="s">
        <v>113</v>
      </c>
      <c r="B31" s="11" t="s">
        <v>19</v>
      </c>
      <c r="C31" s="11" t="s">
        <v>104</v>
      </c>
      <c r="D31" s="11" t="s">
        <v>114</v>
      </c>
      <c r="E31" s="11" t="s">
        <v>112</v>
      </c>
      <c r="F31" s="11" t="s">
        <v>49</v>
      </c>
      <c r="G31" s="12" t="n">
        <v>87</v>
      </c>
      <c r="H31" s="12" t="n">
        <v>318</v>
      </c>
      <c r="I31" s="13" t="n">
        <f aca="false">IF(H31=0,"",G31/H31)</f>
        <v>0.273584905660377</v>
      </c>
      <c r="J31" s="14" t="n">
        <f aca="false">ROUND(H31*Resumen!$B$4,0)</f>
        <v>398</v>
      </c>
      <c r="K31" s="11" t="s">
        <v>9</v>
      </c>
      <c r="L31" s="14" t="n">
        <v>86</v>
      </c>
      <c r="M31" s="11" t="n">
        <v>-34.0372831</v>
      </c>
      <c r="N31" s="11" t="n">
        <v>-70.629533</v>
      </c>
      <c r="O31" s="15" t="n">
        <v>349</v>
      </c>
      <c r="P31" s="18" t="n">
        <v>349</v>
      </c>
      <c r="Q31" s="17" t="s">
        <v>65</v>
      </c>
    </row>
    <row r="32" customFormat="false" ht="15" hidden="false" customHeight="true" outlineLevel="0" collapsed="false">
      <c r="A32" s="11" t="s">
        <v>115</v>
      </c>
      <c r="B32" s="11" t="s">
        <v>19</v>
      </c>
      <c r="C32" s="11" t="s">
        <v>104</v>
      </c>
      <c r="D32" s="11" t="s">
        <v>116</v>
      </c>
      <c r="E32" s="11" t="s">
        <v>112</v>
      </c>
      <c r="F32" s="11" t="s">
        <v>49</v>
      </c>
      <c r="G32" s="12" t="n">
        <v>135</v>
      </c>
      <c r="H32" s="12" t="n">
        <v>264</v>
      </c>
      <c r="I32" s="13" t="n">
        <f aca="false">IF(H32=0,"",G32/H32)</f>
        <v>0.511363636363636</v>
      </c>
      <c r="J32" s="14" t="n">
        <f aca="false">ROUND(H32*Resumen!$B$4,0)</f>
        <v>330</v>
      </c>
      <c r="K32" s="11" t="s">
        <v>9</v>
      </c>
      <c r="L32" s="14" t="n">
        <v>135</v>
      </c>
      <c r="M32" s="11" t="n">
        <v>-34.4446878</v>
      </c>
      <c r="N32" s="11" t="n">
        <v>-70.9474659</v>
      </c>
      <c r="O32" s="15" t="n">
        <v>288</v>
      </c>
      <c r="P32" s="18" t="n">
        <v>288</v>
      </c>
      <c r="Q32" s="17" t="s">
        <v>65</v>
      </c>
    </row>
    <row r="33" customFormat="false" ht="15" hidden="false" customHeight="true" outlineLevel="0" collapsed="false">
      <c r="A33" s="11" t="s">
        <v>117</v>
      </c>
      <c r="B33" s="11" t="s">
        <v>19</v>
      </c>
      <c r="C33" s="11" t="s">
        <v>104</v>
      </c>
      <c r="D33" s="11" t="s">
        <v>118</v>
      </c>
      <c r="E33" s="11" t="s">
        <v>112</v>
      </c>
      <c r="F33" s="11" t="s">
        <v>49</v>
      </c>
      <c r="G33" s="12" t="n">
        <v>164</v>
      </c>
      <c r="H33" s="12" t="n">
        <v>264</v>
      </c>
      <c r="I33" s="13" t="n">
        <f aca="false">IF(H33=0,"",G33/H33)</f>
        <v>0.621212121212121</v>
      </c>
      <c r="J33" s="14" t="n">
        <f aca="false">ROUND(H33*Resumen!$B$4,0)</f>
        <v>330</v>
      </c>
      <c r="K33" s="11" t="s">
        <v>9</v>
      </c>
      <c r="L33" s="14" t="n">
        <v>164</v>
      </c>
      <c r="M33" s="11" t="n">
        <v>-34.3824952</v>
      </c>
      <c r="N33" s="11" t="n">
        <v>-71.1649846</v>
      </c>
      <c r="O33" s="15" t="n">
        <v>303</v>
      </c>
      <c r="P33" s="18" t="n">
        <v>303</v>
      </c>
      <c r="Q33" s="17" t="s">
        <v>65</v>
      </c>
    </row>
    <row r="34" customFormat="false" ht="15" hidden="false" customHeight="true" outlineLevel="0" collapsed="false">
      <c r="A34" s="11" t="s">
        <v>119</v>
      </c>
      <c r="B34" s="11" t="s">
        <v>19</v>
      </c>
      <c r="C34" s="11" t="s">
        <v>104</v>
      </c>
      <c r="D34" s="11" t="s">
        <v>120</v>
      </c>
      <c r="E34" s="11" t="s">
        <v>112</v>
      </c>
      <c r="F34" s="11" t="s">
        <v>49</v>
      </c>
      <c r="G34" s="12" t="n">
        <v>178</v>
      </c>
      <c r="H34" s="12" t="n">
        <v>263</v>
      </c>
      <c r="I34" s="13" t="n">
        <f aca="false">IF(H34=0,"",G34/H34)</f>
        <v>0.67680608365019</v>
      </c>
      <c r="J34" s="14" t="n">
        <f aca="false">ROUND(H34*Resumen!$B$4,0)</f>
        <v>329</v>
      </c>
      <c r="K34" s="11" t="s">
        <v>9</v>
      </c>
      <c r="L34" s="14" t="n">
        <v>178</v>
      </c>
      <c r="M34" s="11" t="n">
        <v>-34.3556457</v>
      </c>
      <c r="N34" s="11" t="n">
        <v>-71.3025264</v>
      </c>
      <c r="O34" s="15" t="n">
        <v>319</v>
      </c>
      <c r="P34" s="18" t="n">
        <v>319</v>
      </c>
      <c r="Q34" s="17" t="s">
        <v>65</v>
      </c>
    </row>
    <row r="35" customFormat="false" ht="15" hidden="false" customHeight="true" outlineLevel="0" collapsed="false">
      <c r="A35" s="11" t="s">
        <v>121</v>
      </c>
      <c r="B35" s="11" t="s">
        <v>19</v>
      </c>
      <c r="C35" s="11" t="s">
        <v>104</v>
      </c>
      <c r="D35" s="11" t="s">
        <v>122</v>
      </c>
      <c r="E35" s="11" t="s">
        <v>112</v>
      </c>
      <c r="F35" s="11" t="s">
        <v>49</v>
      </c>
      <c r="G35" s="12" t="n">
        <v>129</v>
      </c>
      <c r="H35" s="12" t="n">
        <v>271</v>
      </c>
      <c r="I35" s="13" t="n">
        <f aca="false">IF(H35=0,"",G35/H35)</f>
        <v>0.476014760147601</v>
      </c>
      <c r="J35" s="14" t="n">
        <f aca="false">ROUND(H35*Resumen!$B$4,0)</f>
        <v>339</v>
      </c>
      <c r="K35" s="11" t="s">
        <v>9</v>
      </c>
      <c r="L35" s="14" t="n">
        <v>128</v>
      </c>
      <c r="M35" s="11" t="n">
        <v>-34.4075618</v>
      </c>
      <c r="N35" s="11" t="n">
        <v>-70.8671845</v>
      </c>
      <c r="O35" s="15" t="n">
        <v>292</v>
      </c>
      <c r="P35" s="18" t="n">
        <v>292</v>
      </c>
      <c r="Q35" s="17" t="s">
        <v>65</v>
      </c>
    </row>
    <row r="36" customFormat="false" ht="15" hidden="false" customHeight="true" outlineLevel="0" collapsed="false">
      <c r="A36" s="11" t="s">
        <v>123</v>
      </c>
      <c r="B36" s="11" t="s">
        <v>19</v>
      </c>
      <c r="C36" s="11" t="s">
        <v>104</v>
      </c>
      <c r="D36" s="11" t="s">
        <v>124</v>
      </c>
      <c r="E36" s="11" t="s">
        <v>112</v>
      </c>
      <c r="F36" s="11" t="s">
        <v>49</v>
      </c>
      <c r="G36" s="12" t="n">
        <v>168</v>
      </c>
      <c r="H36" s="12" t="n">
        <v>297</v>
      </c>
      <c r="I36" s="13" t="n">
        <f aca="false">IF(H36=0,"",G36/H36)</f>
        <v>0.565656565656566</v>
      </c>
      <c r="J36" s="14" t="n">
        <f aca="false">ROUND(H36*Resumen!$B$4,0)</f>
        <v>371</v>
      </c>
      <c r="K36" s="11" t="s">
        <v>9</v>
      </c>
      <c r="L36" s="14" t="n">
        <v>166</v>
      </c>
      <c r="M36" s="11" t="n">
        <v>-33.9593616</v>
      </c>
      <c r="N36" s="11" t="n">
        <v>-71.8158567</v>
      </c>
      <c r="O36" s="15" t="n">
        <v>379</v>
      </c>
      <c r="P36" s="18" t="n">
        <v>379</v>
      </c>
      <c r="Q36" s="17" t="s">
        <v>65</v>
      </c>
    </row>
    <row r="37" customFormat="false" ht="15" hidden="false" customHeight="true" outlineLevel="0" collapsed="false">
      <c r="A37" s="11" t="s">
        <v>125</v>
      </c>
      <c r="B37" s="11" t="s">
        <v>19</v>
      </c>
      <c r="C37" s="11" t="s">
        <v>104</v>
      </c>
      <c r="D37" s="11" t="s">
        <v>126</v>
      </c>
      <c r="E37" s="11" t="s">
        <v>112</v>
      </c>
      <c r="F37" s="11" t="s">
        <v>49</v>
      </c>
      <c r="G37" s="12" t="n">
        <v>150</v>
      </c>
      <c r="H37" s="12" t="n">
        <v>248</v>
      </c>
      <c r="I37" s="13" t="n">
        <f aca="false">IF(H37=0,"",G37/H37)</f>
        <v>0.604838709677419</v>
      </c>
      <c r="J37" s="14" t="n">
        <f aca="false">ROUND(H37*Resumen!$B$4,0)</f>
        <v>310</v>
      </c>
      <c r="K37" s="11" t="s">
        <v>9</v>
      </c>
      <c r="L37" s="14" t="n">
        <v>151</v>
      </c>
      <c r="M37" s="11" t="n">
        <v>-34.5897387</v>
      </c>
      <c r="N37" s="11" t="n">
        <v>-70.9825732</v>
      </c>
      <c r="O37" s="15" t="n">
        <v>268</v>
      </c>
      <c r="P37" s="18" t="n">
        <v>268</v>
      </c>
      <c r="Q37" s="17" t="s">
        <v>65</v>
      </c>
    </row>
    <row r="38" customFormat="false" ht="15" hidden="false" customHeight="true" outlineLevel="0" collapsed="false">
      <c r="A38" s="11" t="s">
        <v>127</v>
      </c>
      <c r="B38" s="11" t="s">
        <v>19</v>
      </c>
      <c r="C38" s="11" t="s">
        <v>104</v>
      </c>
      <c r="D38" s="11" t="s">
        <v>128</v>
      </c>
      <c r="E38" s="11" t="s">
        <v>112</v>
      </c>
      <c r="F38" s="11" t="s">
        <v>49</v>
      </c>
      <c r="G38" s="12" t="n">
        <v>191</v>
      </c>
      <c r="H38" s="12" t="n">
        <v>226</v>
      </c>
      <c r="I38" s="13" t="n">
        <f aca="false">IF(H38=0,"",G38/H38)</f>
        <v>0.845132743362832</v>
      </c>
      <c r="J38" s="14" t="n">
        <f aca="false">ROUND(H38*Resumen!$B$4,0)</f>
        <v>283</v>
      </c>
      <c r="K38" s="11" t="s">
        <v>9</v>
      </c>
      <c r="L38" s="14" t="n">
        <v>192</v>
      </c>
      <c r="M38" s="11" t="n">
        <v>-34.6920067</v>
      </c>
      <c r="N38" s="11" t="n">
        <v>-71.3345047</v>
      </c>
      <c r="O38" s="15" t="n">
        <v>262</v>
      </c>
      <c r="P38" s="18" t="n">
        <v>262</v>
      </c>
      <c r="Q38" s="17" t="s">
        <v>65</v>
      </c>
    </row>
    <row r="39" customFormat="false" ht="15" hidden="false" customHeight="true" outlineLevel="0" collapsed="false">
      <c r="A39" s="11" t="s">
        <v>129</v>
      </c>
      <c r="B39" s="11" t="s">
        <v>19</v>
      </c>
      <c r="C39" s="11" t="s">
        <v>104</v>
      </c>
      <c r="D39" s="11" t="s">
        <v>130</v>
      </c>
      <c r="E39" s="11" t="s">
        <v>131</v>
      </c>
      <c r="F39" s="11" t="s">
        <v>49</v>
      </c>
      <c r="G39" s="12" t="n">
        <v>191</v>
      </c>
      <c r="H39" s="12" t="n">
        <v>213</v>
      </c>
      <c r="I39" s="13" t="n">
        <f aca="false">IF(H39=0,"",G39/H39)</f>
        <v>0.896713615023474</v>
      </c>
      <c r="J39" s="14" t="n">
        <f aca="false">ROUND(H39*Resumen!$B$4,0)</f>
        <v>266</v>
      </c>
      <c r="K39" s="11" t="s">
        <v>9</v>
      </c>
      <c r="L39" s="14" t="n">
        <v>191</v>
      </c>
      <c r="M39" s="11" t="n">
        <v>-34.8710799</v>
      </c>
      <c r="N39" s="11" t="n">
        <v>-71.1588739</v>
      </c>
      <c r="O39" s="15" t="n">
        <v>232</v>
      </c>
      <c r="P39" s="18" t="n">
        <v>232</v>
      </c>
      <c r="Q39" s="17" t="s">
        <v>65</v>
      </c>
    </row>
    <row r="40" customFormat="false" ht="15" hidden="false" customHeight="true" outlineLevel="0" collapsed="false">
      <c r="A40" s="11" t="s">
        <v>132</v>
      </c>
      <c r="B40" s="11" t="s">
        <v>19</v>
      </c>
      <c r="C40" s="11" t="s">
        <v>104</v>
      </c>
      <c r="D40" s="11" t="s">
        <v>84</v>
      </c>
      <c r="E40" s="11" t="s">
        <v>64</v>
      </c>
      <c r="F40" s="11" t="s">
        <v>49</v>
      </c>
      <c r="G40" s="12" t="n">
        <v>12</v>
      </c>
      <c r="H40" s="12" t="n">
        <v>380</v>
      </c>
      <c r="I40" s="13" t="n">
        <f aca="false">IF(H40=0,"",G40/H40)</f>
        <v>0.0315789473684211</v>
      </c>
      <c r="J40" s="14" t="n">
        <f aca="false">ROUND(H40*Resumen!$B$4,0)</f>
        <v>475</v>
      </c>
      <c r="K40" s="11" t="s">
        <v>9</v>
      </c>
      <c r="L40" s="14" t="n">
        <v>11</v>
      </c>
      <c r="M40" s="11" t="n">
        <v>-33.4195653</v>
      </c>
      <c r="N40" s="11" t="n">
        <v>-70.6696145</v>
      </c>
      <c r="O40" s="15" t="n">
        <v>409</v>
      </c>
      <c r="P40" s="18" t="n">
        <v>409</v>
      </c>
      <c r="Q40" s="17" t="s">
        <v>65</v>
      </c>
    </row>
    <row r="41" customFormat="false" ht="15" hidden="false" customHeight="true" outlineLevel="0" collapsed="false">
      <c r="A41" s="11" t="s">
        <v>133</v>
      </c>
      <c r="B41" s="11" t="s">
        <v>19</v>
      </c>
      <c r="C41" s="11" t="s">
        <v>104</v>
      </c>
      <c r="D41" s="11" t="s">
        <v>86</v>
      </c>
      <c r="E41" s="11" t="s">
        <v>64</v>
      </c>
      <c r="F41" s="11" t="s">
        <v>49</v>
      </c>
      <c r="G41" s="12" t="n">
        <v>24</v>
      </c>
      <c r="H41" s="12" t="n">
        <v>368</v>
      </c>
      <c r="I41" s="13" t="n">
        <f aca="false">IF(H41=0,"",G41/H41)</f>
        <v>0.0652173913043478</v>
      </c>
      <c r="J41" s="14" t="n">
        <f aca="false">ROUND(H41*Resumen!$B$4,0)</f>
        <v>460</v>
      </c>
      <c r="K41" s="11" t="s">
        <v>9</v>
      </c>
      <c r="L41" s="14" t="n">
        <v>26</v>
      </c>
      <c r="M41" s="11" t="n">
        <v>-33.5373498</v>
      </c>
      <c r="N41" s="11" t="n">
        <v>-70.6643328</v>
      </c>
      <c r="O41" s="15" t="n">
        <v>397</v>
      </c>
      <c r="P41" s="18" t="n">
        <v>397</v>
      </c>
      <c r="Q41" s="17" t="s">
        <v>65</v>
      </c>
    </row>
    <row r="42" customFormat="false" ht="15" hidden="false" customHeight="true" outlineLevel="0" collapsed="false">
      <c r="A42" s="11" t="s">
        <v>134</v>
      </c>
      <c r="B42" s="11" t="s">
        <v>19</v>
      </c>
      <c r="C42" s="11" t="s">
        <v>104</v>
      </c>
      <c r="D42" s="11" t="s">
        <v>135</v>
      </c>
      <c r="E42" s="11" t="s">
        <v>64</v>
      </c>
      <c r="F42" s="11" t="s">
        <v>49</v>
      </c>
      <c r="G42" s="12" t="n">
        <v>22</v>
      </c>
      <c r="H42" s="12" t="n">
        <v>382</v>
      </c>
      <c r="I42" s="13" t="n">
        <f aca="false">IF(H42=0,"",G42/H42)</f>
        <v>0.0575916230366492</v>
      </c>
      <c r="J42" s="14" t="n">
        <f aca="false">ROUND(H42*Resumen!$B$4,0)</f>
        <v>478</v>
      </c>
      <c r="K42" s="11" t="s">
        <v>9</v>
      </c>
      <c r="L42" s="14" t="n">
        <v>23</v>
      </c>
      <c r="M42" s="11" t="n">
        <v>-33.4430242</v>
      </c>
      <c r="N42" s="11" t="n">
        <v>-70.5337236</v>
      </c>
      <c r="O42" s="15" t="n">
        <v>415</v>
      </c>
      <c r="P42" s="18" t="n">
        <v>415</v>
      </c>
      <c r="Q42" s="17" t="s">
        <v>65</v>
      </c>
    </row>
    <row r="43" customFormat="false" ht="15" hidden="false" customHeight="true" outlineLevel="0" collapsed="false">
      <c r="A43" s="11" t="s">
        <v>136</v>
      </c>
      <c r="B43" s="11" t="s">
        <v>19</v>
      </c>
      <c r="C43" s="11" t="s">
        <v>104</v>
      </c>
      <c r="D43" s="11" t="s">
        <v>90</v>
      </c>
      <c r="E43" s="11" t="s">
        <v>64</v>
      </c>
      <c r="F43" s="11" t="s">
        <v>49</v>
      </c>
      <c r="G43" s="12" t="n">
        <v>15</v>
      </c>
      <c r="H43" s="12" t="n">
        <v>376</v>
      </c>
      <c r="I43" s="13" t="n">
        <f aca="false">IF(H43=0,"",G43/H43)</f>
        <v>0.0398936170212766</v>
      </c>
      <c r="J43" s="14" t="n">
        <f aca="false">ROUND(H43*Resumen!$B$4,0)</f>
        <v>470</v>
      </c>
      <c r="K43" s="11" t="s">
        <v>9</v>
      </c>
      <c r="L43" s="14" t="n">
        <v>17</v>
      </c>
      <c r="M43" s="11" t="n">
        <v>-33.4434094</v>
      </c>
      <c r="N43" s="11" t="n">
        <v>-70.7167535</v>
      </c>
      <c r="O43" s="15" t="n">
        <v>407</v>
      </c>
      <c r="P43" s="18" t="n">
        <v>407</v>
      </c>
      <c r="Q43" s="17" t="s">
        <v>65</v>
      </c>
    </row>
    <row r="44" customFormat="false" ht="15" hidden="false" customHeight="true" outlineLevel="0" collapsed="false">
      <c r="A44" s="11" t="s">
        <v>137</v>
      </c>
      <c r="B44" s="11" t="s">
        <v>19</v>
      </c>
      <c r="C44" s="11" t="s">
        <v>104</v>
      </c>
      <c r="D44" s="11" t="s">
        <v>92</v>
      </c>
      <c r="E44" s="11" t="s">
        <v>64</v>
      </c>
      <c r="F44" s="11" t="s">
        <v>49</v>
      </c>
      <c r="G44" s="12" t="n">
        <v>25</v>
      </c>
      <c r="H44" s="12" t="n">
        <v>373</v>
      </c>
      <c r="I44" s="13" t="n">
        <f aca="false">IF(H44=0,"",G44/H44)</f>
        <v>0.0670241286863271</v>
      </c>
      <c r="J44" s="14" t="n">
        <f aca="false">ROUND(H44*Resumen!$B$4,0)</f>
        <v>466</v>
      </c>
      <c r="K44" s="11" t="s">
        <v>9</v>
      </c>
      <c r="L44" s="14" t="n">
        <v>25</v>
      </c>
      <c r="M44" s="11" t="n">
        <v>-33.5092379</v>
      </c>
      <c r="N44" s="11" t="n">
        <v>-70.5900473</v>
      </c>
      <c r="O44" s="15" t="n">
        <v>406</v>
      </c>
      <c r="P44" s="18" t="n">
        <v>406</v>
      </c>
      <c r="Q44" s="17" t="s">
        <v>65</v>
      </c>
    </row>
    <row r="45" customFormat="false" ht="15" hidden="false" customHeight="true" outlineLevel="0" collapsed="false">
      <c r="A45" s="11" t="s">
        <v>138</v>
      </c>
      <c r="B45" s="11" t="s">
        <v>19</v>
      </c>
      <c r="C45" s="11" t="s">
        <v>104</v>
      </c>
      <c r="D45" s="11" t="s">
        <v>94</v>
      </c>
      <c r="E45" s="11" t="s">
        <v>64</v>
      </c>
      <c r="F45" s="11" t="s">
        <v>49</v>
      </c>
      <c r="G45" s="12" t="n">
        <v>26</v>
      </c>
      <c r="H45" s="12" t="n">
        <v>368</v>
      </c>
      <c r="I45" s="13" t="n">
        <f aca="false">IF(H45=0,"",G45/H45)</f>
        <v>0.0706521739130435</v>
      </c>
      <c r="J45" s="14" t="n">
        <f aca="false">ROUND(H45*Resumen!$B$4,0)</f>
        <v>460</v>
      </c>
      <c r="K45" s="11" t="s">
        <v>9</v>
      </c>
      <c r="L45" s="14" t="n">
        <v>26</v>
      </c>
      <c r="M45" s="11" t="n">
        <v>-33.5099332</v>
      </c>
      <c r="N45" s="11" t="n">
        <v>-70.7573092</v>
      </c>
      <c r="O45" s="15" t="n">
        <v>401</v>
      </c>
      <c r="P45" s="18" t="n">
        <v>401</v>
      </c>
      <c r="Q45" s="17" t="s">
        <v>65</v>
      </c>
    </row>
    <row r="46" customFormat="false" ht="15" hidden="false" customHeight="true" outlineLevel="0" collapsed="false">
      <c r="A46" s="11" t="s">
        <v>139</v>
      </c>
      <c r="B46" s="11" t="s">
        <v>19</v>
      </c>
      <c r="C46" s="11" t="s">
        <v>104</v>
      </c>
      <c r="D46" s="11" t="s">
        <v>140</v>
      </c>
      <c r="E46" s="11" t="s">
        <v>64</v>
      </c>
      <c r="F46" s="11" t="s">
        <v>49</v>
      </c>
      <c r="G46" s="12" t="n">
        <v>18</v>
      </c>
      <c r="H46" s="12" t="n">
        <v>378</v>
      </c>
      <c r="I46" s="13" t="n">
        <f aca="false">IF(H46=0,"",G46/H46)</f>
        <v>0.0476190476190476</v>
      </c>
      <c r="J46" s="14" t="n">
        <f aca="false">ROUND(H46*Resumen!$B$4,0)</f>
        <v>473</v>
      </c>
      <c r="K46" s="11" t="s">
        <v>9</v>
      </c>
      <c r="L46" s="14" t="n">
        <v>18</v>
      </c>
      <c r="M46" s="11" t="n">
        <v>-33.4541894</v>
      </c>
      <c r="N46" s="11" t="n">
        <v>-70.604972</v>
      </c>
      <c r="O46" s="15" t="n">
        <v>413</v>
      </c>
      <c r="P46" s="18" t="n">
        <v>413</v>
      </c>
      <c r="Q46" s="17" t="s">
        <v>65</v>
      </c>
    </row>
    <row r="47" customFormat="false" ht="15" hidden="false" customHeight="true" outlineLevel="0" collapsed="false">
      <c r="A47" s="11" t="s">
        <v>141</v>
      </c>
      <c r="B47" s="11" t="s">
        <v>19</v>
      </c>
      <c r="C47" s="11" t="s">
        <v>104</v>
      </c>
      <c r="D47" s="11" t="s">
        <v>142</v>
      </c>
      <c r="E47" s="11" t="s">
        <v>64</v>
      </c>
      <c r="F47" s="11" t="s">
        <v>49</v>
      </c>
      <c r="G47" s="12" t="n">
        <v>20</v>
      </c>
      <c r="H47" s="12" t="n">
        <v>372</v>
      </c>
      <c r="I47" s="13" t="n">
        <f aca="false">IF(H47=0,"",G47/H47)</f>
        <v>0.0537634408602151</v>
      </c>
      <c r="J47" s="14" t="n">
        <f aca="false">ROUND(H47*Resumen!$B$4,0)</f>
        <v>465</v>
      </c>
      <c r="K47" s="11" t="s">
        <v>9</v>
      </c>
      <c r="L47" s="14" t="n">
        <v>20</v>
      </c>
      <c r="M47" s="11" t="n">
        <v>-33.4927335</v>
      </c>
      <c r="N47" s="11" t="n">
        <v>-70.6818026</v>
      </c>
      <c r="O47" s="15" t="n">
        <v>400</v>
      </c>
      <c r="P47" s="18" t="n">
        <v>400</v>
      </c>
      <c r="Q47" s="17" t="s">
        <v>65</v>
      </c>
    </row>
    <row r="48" customFormat="false" ht="15" hidden="false" customHeight="true" outlineLevel="0" collapsed="false">
      <c r="A48" s="11" t="s">
        <v>143</v>
      </c>
      <c r="B48" s="11" t="s">
        <v>19</v>
      </c>
      <c r="C48" s="11" t="s">
        <v>104</v>
      </c>
      <c r="D48" s="11" t="s">
        <v>144</v>
      </c>
      <c r="E48" s="11" t="s">
        <v>64</v>
      </c>
      <c r="F48" s="11" t="s">
        <v>49</v>
      </c>
      <c r="G48" s="12" t="n">
        <v>14</v>
      </c>
      <c r="H48" s="12" t="n">
        <v>380</v>
      </c>
      <c r="I48" s="13" t="n">
        <f aca="false">IF(H48=0,"",G48/H48)</f>
        <v>0.0368421052631579</v>
      </c>
      <c r="J48" s="14" t="n">
        <f aca="false">ROUND(H48*Resumen!$B$4,0)</f>
        <v>475</v>
      </c>
      <c r="K48" s="11" t="s">
        <v>9</v>
      </c>
      <c r="L48" s="14" t="n">
        <v>14</v>
      </c>
      <c r="M48" s="11" t="n">
        <v>-33.4321835</v>
      </c>
      <c r="N48" s="11" t="n">
        <v>-70.6095284</v>
      </c>
      <c r="O48" s="15" t="n">
        <v>415</v>
      </c>
      <c r="P48" s="18" t="n">
        <v>415</v>
      </c>
      <c r="Q48" s="17" t="s">
        <v>65</v>
      </c>
    </row>
    <row r="49" customFormat="false" ht="15" hidden="false" customHeight="true" outlineLevel="0" collapsed="false">
      <c r="A49" s="11" t="s">
        <v>145</v>
      </c>
      <c r="B49" s="11" t="s">
        <v>19</v>
      </c>
      <c r="C49" s="11" t="s">
        <v>104</v>
      </c>
      <c r="D49" s="11" t="s">
        <v>146</v>
      </c>
      <c r="E49" s="11" t="s">
        <v>64</v>
      </c>
      <c r="F49" s="11" t="s">
        <v>49</v>
      </c>
      <c r="G49" s="12" t="n">
        <v>17</v>
      </c>
      <c r="H49" s="12" t="n">
        <v>375</v>
      </c>
      <c r="I49" s="13" t="n">
        <f aca="false">IF(H49=0,"",G49/H49)</f>
        <v>0.0453333333333333</v>
      </c>
      <c r="J49" s="14" t="n">
        <f aca="false">ROUND(H49*Resumen!$B$4,0)</f>
        <v>469</v>
      </c>
      <c r="K49" s="11" t="s">
        <v>9</v>
      </c>
      <c r="L49" s="14" t="n">
        <v>16</v>
      </c>
      <c r="M49" s="11" t="n">
        <v>-33.4368017</v>
      </c>
      <c r="N49" s="11" t="n">
        <v>-70.7517915</v>
      </c>
      <c r="O49" s="15" t="n">
        <v>411</v>
      </c>
      <c r="P49" s="18" t="n">
        <v>411</v>
      </c>
      <c r="Q49" s="17" t="s">
        <v>65</v>
      </c>
    </row>
    <row r="50" customFormat="false" ht="15" hidden="false" customHeight="true" outlineLevel="0" collapsed="false">
      <c r="A50" s="11" t="s">
        <v>147</v>
      </c>
      <c r="B50" s="11" t="s">
        <v>19</v>
      </c>
      <c r="C50" s="11" t="s">
        <v>104</v>
      </c>
      <c r="D50" s="11" t="s">
        <v>148</v>
      </c>
      <c r="E50" s="11" t="s">
        <v>64</v>
      </c>
      <c r="F50" s="11" t="s">
        <v>49</v>
      </c>
      <c r="G50" s="12" t="n">
        <v>6</v>
      </c>
      <c r="H50" s="12" t="n">
        <v>385</v>
      </c>
      <c r="I50" s="13" t="n">
        <f aca="false">IF(H50=0,"",G50/H50)</f>
        <v>0.0155844155844156</v>
      </c>
      <c r="J50" s="14" t="n">
        <f aca="false">ROUND(H50*Resumen!$B$4,0)</f>
        <v>481</v>
      </c>
      <c r="K50" s="11" t="s">
        <v>9</v>
      </c>
      <c r="L50" s="14" t="n">
        <v>5</v>
      </c>
      <c r="M50" s="11" t="n">
        <v>-33.3600426</v>
      </c>
      <c r="N50" s="11" t="n">
        <v>-70.7118564</v>
      </c>
      <c r="O50" s="15" t="n">
        <v>416</v>
      </c>
      <c r="P50" s="18" t="n">
        <v>416</v>
      </c>
      <c r="Q50" s="17" t="s">
        <v>65</v>
      </c>
    </row>
    <row r="51" customFormat="false" ht="15" hidden="false" customHeight="true" outlineLevel="0" collapsed="false">
      <c r="A51" s="11" t="s">
        <v>149</v>
      </c>
      <c r="B51" s="11" t="s">
        <v>19</v>
      </c>
      <c r="C51" s="11" t="s">
        <v>104</v>
      </c>
      <c r="D51" s="11" t="s">
        <v>150</v>
      </c>
      <c r="E51" s="11" t="s">
        <v>64</v>
      </c>
      <c r="F51" s="11" t="s">
        <v>49</v>
      </c>
      <c r="G51" s="12" t="n">
        <v>21</v>
      </c>
      <c r="H51" s="12" t="n">
        <v>373</v>
      </c>
      <c r="I51" s="13" t="n">
        <f aca="false">IF(H51=0,"",G51/H51)</f>
        <v>0.0563002680965148</v>
      </c>
      <c r="J51" s="14" t="n">
        <f aca="false">ROUND(H51*Resumen!$B$4,0)</f>
        <v>466</v>
      </c>
      <c r="K51" s="11" t="s">
        <v>9</v>
      </c>
      <c r="L51" s="14" t="n">
        <v>22</v>
      </c>
      <c r="M51" s="11" t="n">
        <v>-33.4993359</v>
      </c>
      <c r="N51" s="11" t="n">
        <v>-70.6158257</v>
      </c>
      <c r="O51" s="15" t="n">
        <v>405</v>
      </c>
      <c r="P51" s="18" t="n">
        <v>405</v>
      </c>
      <c r="Q51" s="17" t="s">
        <v>65</v>
      </c>
    </row>
    <row r="52" customFormat="false" ht="15" hidden="false" customHeight="true" outlineLevel="0" collapsed="false">
      <c r="A52" s="11" t="s">
        <v>151</v>
      </c>
      <c r="B52" s="11" t="s">
        <v>19</v>
      </c>
      <c r="C52" s="11" t="s">
        <v>104</v>
      </c>
      <c r="D52" s="11" t="s">
        <v>152</v>
      </c>
      <c r="E52" s="11" t="s">
        <v>64</v>
      </c>
      <c r="F52" s="11" t="s">
        <v>49</v>
      </c>
      <c r="G52" s="12" t="n">
        <v>149</v>
      </c>
      <c r="H52" s="12" t="n">
        <v>297</v>
      </c>
      <c r="I52" s="13" t="n">
        <f aca="false">IF(H52=0,"",G52/H52)</f>
        <v>0.501683501683502</v>
      </c>
      <c r="J52" s="14" t="n">
        <f aca="false">ROUND(H52*Resumen!$B$4,0)</f>
        <v>371</v>
      </c>
      <c r="K52" s="11" t="s">
        <v>9</v>
      </c>
      <c r="L52" s="14" t="n">
        <v>147</v>
      </c>
      <c r="M52" s="11" t="n">
        <v>-34.0548405</v>
      </c>
      <c r="N52" s="11" t="n">
        <v>-71.2188305</v>
      </c>
      <c r="O52" s="15" t="n">
        <v>364</v>
      </c>
      <c r="P52" s="18" t="n">
        <v>364</v>
      </c>
      <c r="Q52" s="17" t="s">
        <v>65</v>
      </c>
    </row>
    <row r="53" customFormat="false" ht="15" hidden="false" customHeight="true" outlineLevel="0" collapsed="false">
      <c r="A53" s="11" t="s">
        <v>153</v>
      </c>
      <c r="B53" s="11" t="s">
        <v>19</v>
      </c>
      <c r="C53" s="11" t="s">
        <v>104</v>
      </c>
      <c r="D53" s="11" t="s">
        <v>102</v>
      </c>
      <c r="E53" s="11" t="s">
        <v>64</v>
      </c>
      <c r="F53" s="11" t="s">
        <v>49</v>
      </c>
      <c r="G53" s="12" t="n">
        <v>57</v>
      </c>
      <c r="H53" s="12" t="n">
        <v>369</v>
      </c>
      <c r="I53" s="13" t="n">
        <f aca="false">IF(H53=0,"",G53/H53)</f>
        <v>0.154471544715447</v>
      </c>
      <c r="J53" s="14" t="n">
        <f aca="false">ROUND(H53*Resumen!$B$4,0)</f>
        <v>461</v>
      </c>
      <c r="K53" s="11" t="s">
        <v>9</v>
      </c>
      <c r="L53" s="14" t="n">
        <v>57</v>
      </c>
      <c r="M53" s="11" t="n">
        <v>-33.3946803</v>
      </c>
      <c r="N53" s="11" t="n">
        <v>-71.1691385</v>
      </c>
      <c r="O53" s="15" t="n">
        <v>449</v>
      </c>
      <c r="P53" s="18" t="n">
        <v>449</v>
      </c>
      <c r="Q53" s="17" t="s">
        <v>65</v>
      </c>
    </row>
    <row r="54" customFormat="false" ht="15" hidden="false" customHeight="true" outlineLevel="0" collapsed="false">
      <c r="A54" s="11" t="s">
        <v>154</v>
      </c>
      <c r="B54" s="11" t="s">
        <v>20</v>
      </c>
      <c r="C54" s="11" t="s">
        <v>155</v>
      </c>
      <c r="D54" s="11" t="s">
        <v>126</v>
      </c>
      <c r="E54" s="11" t="s">
        <v>112</v>
      </c>
      <c r="F54" s="11" t="s">
        <v>49</v>
      </c>
      <c r="G54" s="12" t="n">
        <v>150</v>
      </c>
      <c r="H54" s="12" t="n">
        <v>312</v>
      </c>
      <c r="I54" s="13" t="n">
        <f aca="false">IF(H54=0,"",G54/H54)</f>
        <v>0.480769230769231</v>
      </c>
      <c r="J54" s="14" t="n">
        <f aca="false">ROUND(H54*Resumen!$B$4,0)</f>
        <v>390</v>
      </c>
      <c r="K54" s="11" t="s">
        <v>9</v>
      </c>
      <c r="L54" s="14" t="n">
        <v>151</v>
      </c>
      <c r="M54" s="11" t="n">
        <v>-34.5897387</v>
      </c>
      <c r="N54" s="11" t="n">
        <v>-70.9825732</v>
      </c>
      <c r="O54" s="15" t="n">
        <v>363</v>
      </c>
      <c r="P54" s="18" t="n">
        <v>363</v>
      </c>
      <c r="Q54" s="17" t="s">
        <v>65</v>
      </c>
    </row>
    <row r="55" customFormat="false" ht="15" hidden="false" customHeight="true" outlineLevel="0" collapsed="false">
      <c r="A55" s="11" t="s">
        <v>156</v>
      </c>
      <c r="B55" s="11" t="s">
        <v>20</v>
      </c>
      <c r="C55" s="11" t="s">
        <v>155</v>
      </c>
      <c r="D55" s="11" t="s">
        <v>73</v>
      </c>
      <c r="E55" s="11" t="s">
        <v>48</v>
      </c>
      <c r="F55" s="11" t="s">
        <v>49</v>
      </c>
      <c r="G55" s="12" t="n">
        <v>104</v>
      </c>
      <c r="H55" s="12" t="n">
        <v>481</v>
      </c>
      <c r="I55" s="13" t="n">
        <f aca="false">IF(H55=0,"",G55/H55)</f>
        <v>0.216216216216216</v>
      </c>
      <c r="J55" s="14" t="n">
        <f aca="false">ROUND(H55*Resumen!$B$4,0)</f>
        <v>601</v>
      </c>
      <c r="K55" s="11" t="s">
        <v>9</v>
      </c>
      <c r="L55" s="14" t="n">
        <v>103</v>
      </c>
      <c r="M55" s="11" t="n">
        <v>-32.7871293</v>
      </c>
      <c r="N55" s="11" t="n">
        <v>-71.1857769</v>
      </c>
      <c r="O55" s="15" t="n">
        <v>612</v>
      </c>
      <c r="P55" s="18" t="n">
        <v>612</v>
      </c>
      <c r="Q55" s="17" t="s">
        <v>65</v>
      </c>
    </row>
    <row r="56" customFormat="false" ht="15" hidden="false" customHeight="true" outlineLevel="0" collapsed="false">
      <c r="A56" s="11" t="s">
        <v>157</v>
      </c>
      <c r="B56" s="11" t="s">
        <v>20</v>
      </c>
      <c r="C56" s="11" t="s">
        <v>155</v>
      </c>
      <c r="D56" s="11" t="s">
        <v>158</v>
      </c>
      <c r="E56" s="11" t="s">
        <v>76</v>
      </c>
      <c r="F56" s="11" t="s">
        <v>49</v>
      </c>
      <c r="G56" s="12" t="n">
        <v>285</v>
      </c>
      <c r="H56" s="12" t="n">
        <v>624</v>
      </c>
      <c r="I56" s="13" t="n">
        <f aca="false">IF(H56=0,"",G56/H56)</f>
        <v>0.456730769230769</v>
      </c>
      <c r="J56" s="14" t="n">
        <f aca="false">ROUND(H56*Resumen!$B$4,0)</f>
        <v>780</v>
      </c>
      <c r="K56" s="11" t="s">
        <v>9</v>
      </c>
      <c r="L56" s="14" t="n">
        <v>285</v>
      </c>
      <c r="M56" s="11" t="n">
        <v>-31.3906725</v>
      </c>
      <c r="N56" s="11" t="n">
        <v>-71.3889726</v>
      </c>
      <c r="O56" s="15" t="n">
        <v>798</v>
      </c>
      <c r="P56" s="18" t="n">
        <v>798</v>
      </c>
      <c r="Q56" s="17" t="s">
        <v>65</v>
      </c>
    </row>
    <row r="57" customFormat="false" ht="15" hidden="false" customHeight="true" outlineLevel="0" collapsed="false">
      <c r="A57" s="11" t="s">
        <v>159</v>
      </c>
      <c r="B57" s="11" t="s">
        <v>20</v>
      </c>
      <c r="C57" s="11" t="s">
        <v>155</v>
      </c>
      <c r="D57" s="11" t="s">
        <v>160</v>
      </c>
      <c r="E57" s="11" t="s">
        <v>76</v>
      </c>
      <c r="F57" s="11" t="s">
        <v>49</v>
      </c>
      <c r="G57" s="12" t="n">
        <v>396</v>
      </c>
      <c r="H57" s="12" t="n">
        <v>713</v>
      </c>
      <c r="I57" s="13" t="n">
        <f aca="false">IF(H57=0,"",G57/H57)</f>
        <v>0.555399719495091</v>
      </c>
      <c r="J57" s="14" t="n">
        <f aca="false">ROUND(H57*Resumen!$B$4,0)</f>
        <v>891</v>
      </c>
      <c r="K57" s="11" t="s">
        <v>9</v>
      </c>
      <c r="L57" s="14" t="n">
        <v>395</v>
      </c>
      <c r="M57" s="11" t="n">
        <v>-30.6094677</v>
      </c>
      <c r="N57" s="11" t="n">
        <v>-71.2058212</v>
      </c>
      <c r="O57" s="15" t="n">
        <v>902</v>
      </c>
      <c r="P57" s="18" t="n">
        <v>902</v>
      </c>
      <c r="Q57" s="17" t="s">
        <v>65</v>
      </c>
    </row>
    <row r="58" customFormat="false" ht="15" hidden="false" customHeight="true" outlineLevel="0" collapsed="false">
      <c r="A58" s="11" t="s">
        <v>161</v>
      </c>
      <c r="B58" s="11" t="s">
        <v>20</v>
      </c>
      <c r="C58" s="11" t="s">
        <v>155</v>
      </c>
      <c r="D58" s="11" t="s">
        <v>162</v>
      </c>
      <c r="E58" s="11" t="s">
        <v>76</v>
      </c>
      <c r="F58" s="11" t="s">
        <v>49</v>
      </c>
      <c r="G58" s="12" t="n">
        <v>342</v>
      </c>
      <c r="H58" s="12" t="n">
        <v>657</v>
      </c>
      <c r="I58" s="13" t="n">
        <f aca="false">IF(H58=0,"",G58/H58)</f>
        <v>0.520547945205479</v>
      </c>
      <c r="J58" s="14" t="n">
        <f aca="false">ROUND(H58*Resumen!$B$4,0)</f>
        <v>821</v>
      </c>
      <c r="K58" s="11" t="s">
        <v>9</v>
      </c>
      <c r="L58" s="14" t="n">
        <v>343</v>
      </c>
      <c r="M58" s="11" t="n">
        <v>-31.1757017</v>
      </c>
      <c r="N58" s="11" t="n">
        <v>-71.0000837</v>
      </c>
      <c r="O58" s="15" t="n">
        <v>850</v>
      </c>
      <c r="P58" s="18" t="n">
        <v>850</v>
      </c>
      <c r="Q58" s="17" t="s">
        <v>65</v>
      </c>
    </row>
    <row r="59" customFormat="false" ht="15" hidden="false" customHeight="true" outlineLevel="0" collapsed="false">
      <c r="A59" s="11" t="s">
        <v>163</v>
      </c>
      <c r="B59" s="11" t="s">
        <v>20</v>
      </c>
      <c r="C59" s="11" t="s">
        <v>155</v>
      </c>
      <c r="D59" s="11" t="s">
        <v>164</v>
      </c>
      <c r="E59" s="11" t="s">
        <v>48</v>
      </c>
      <c r="F59" s="11" t="s">
        <v>49</v>
      </c>
      <c r="G59" s="12" t="n">
        <v>152</v>
      </c>
      <c r="H59" s="12" t="n">
        <v>471</v>
      </c>
      <c r="I59" s="13" t="n">
        <f aca="false">IF(H59=0,"",G59/H59)</f>
        <v>0.322717622080679</v>
      </c>
      <c r="J59" s="14" t="n">
        <f aca="false">ROUND(H59*Resumen!$B$4,0)</f>
        <v>589</v>
      </c>
      <c r="K59" s="11" t="s">
        <v>9</v>
      </c>
      <c r="L59" s="14" t="n">
        <v>150</v>
      </c>
      <c r="M59" s="11" t="n">
        <v>-32.7833542</v>
      </c>
      <c r="N59" s="11" t="n">
        <v>-71.5270734</v>
      </c>
      <c r="O59" s="15" t="n">
        <v>658</v>
      </c>
      <c r="P59" s="18" t="n">
        <v>658</v>
      </c>
      <c r="Q59" s="17" t="s">
        <v>65</v>
      </c>
    </row>
    <row r="60" customFormat="false" ht="15" hidden="false" customHeight="true" outlineLevel="0" collapsed="false">
      <c r="A60" s="11" t="s">
        <v>165</v>
      </c>
      <c r="B60" s="11" t="s">
        <v>20</v>
      </c>
      <c r="C60" s="11" t="s">
        <v>155</v>
      </c>
      <c r="D60" s="11" t="s">
        <v>166</v>
      </c>
      <c r="E60" s="11" t="s">
        <v>48</v>
      </c>
      <c r="F60" s="11" t="s">
        <v>49</v>
      </c>
      <c r="G60" s="12" t="n">
        <v>191</v>
      </c>
      <c r="H60" s="12" t="n">
        <v>545</v>
      </c>
      <c r="I60" s="13" t="n">
        <f aca="false">IF(H60=0,"",G60/H60)</f>
        <v>0.35045871559633</v>
      </c>
      <c r="J60" s="14" t="n">
        <f aca="false">ROUND(H60*Resumen!$B$4,0)</f>
        <v>681</v>
      </c>
      <c r="K60" s="11" t="s">
        <v>9</v>
      </c>
      <c r="L60" s="14" t="n">
        <v>192</v>
      </c>
      <c r="M60" s="11" t="n">
        <v>-32.251699</v>
      </c>
      <c r="N60" s="11" t="n">
        <v>-70.9309103</v>
      </c>
      <c r="O60" s="15" t="n">
        <v>700</v>
      </c>
      <c r="P60" s="18" t="n">
        <v>700</v>
      </c>
      <c r="Q60" s="17" t="s">
        <v>65</v>
      </c>
    </row>
    <row r="61" customFormat="false" ht="15" hidden="false" customHeight="true" outlineLevel="0" collapsed="false">
      <c r="A61" s="11" t="s">
        <v>167</v>
      </c>
      <c r="B61" s="11" t="s">
        <v>20</v>
      </c>
      <c r="C61" s="11" t="s">
        <v>155</v>
      </c>
      <c r="D61" s="11" t="s">
        <v>168</v>
      </c>
      <c r="E61" s="11" t="s">
        <v>48</v>
      </c>
      <c r="F61" s="11" t="s">
        <v>49</v>
      </c>
      <c r="G61" s="12" t="n">
        <v>115</v>
      </c>
      <c r="H61" s="12" t="n">
        <v>468</v>
      </c>
      <c r="I61" s="13" t="n">
        <f aca="false">IF(H61=0,"",G61/H61)</f>
        <v>0.245726495726496</v>
      </c>
      <c r="J61" s="14" t="n">
        <f aca="false">ROUND(H61*Resumen!$B$4,0)</f>
        <v>585</v>
      </c>
      <c r="K61" s="11" t="s">
        <v>9</v>
      </c>
      <c r="L61" s="14" t="n">
        <v>113</v>
      </c>
      <c r="M61" s="11" t="n">
        <v>-32.8919351</v>
      </c>
      <c r="N61" s="11" t="n">
        <v>-71.2599622</v>
      </c>
      <c r="O61" s="15" t="n">
        <v>627</v>
      </c>
      <c r="P61" s="18" t="n">
        <v>627</v>
      </c>
      <c r="Q61" s="17" t="s">
        <v>65</v>
      </c>
    </row>
    <row r="62" customFormat="false" ht="15" hidden="false" customHeight="true" outlineLevel="0" collapsed="false">
      <c r="A62" s="11" t="s">
        <v>169</v>
      </c>
      <c r="B62" s="11" t="s">
        <v>20</v>
      </c>
      <c r="C62" s="11" t="s">
        <v>155</v>
      </c>
      <c r="D62" s="11" t="s">
        <v>170</v>
      </c>
      <c r="E62" s="11" t="s">
        <v>48</v>
      </c>
      <c r="F62" s="11" t="s">
        <v>49</v>
      </c>
      <c r="G62" s="12" t="n">
        <v>108</v>
      </c>
      <c r="H62" s="12" t="n">
        <v>406</v>
      </c>
      <c r="I62" s="13" t="n">
        <f aca="false">IF(H62=0,"",G62/H62)</f>
        <v>0.266009852216749</v>
      </c>
      <c r="J62" s="14" t="n">
        <f aca="false">ROUND(H62*Resumen!$B$4,0)</f>
        <v>508</v>
      </c>
      <c r="K62" s="11" t="s">
        <v>9</v>
      </c>
      <c r="L62" s="14" t="n">
        <v>109</v>
      </c>
      <c r="M62" s="11" t="n">
        <v>-33.3611022</v>
      </c>
      <c r="N62" s="11" t="n">
        <v>-71.6697067</v>
      </c>
      <c r="O62" s="15" t="n">
        <v>580</v>
      </c>
      <c r="P62" s="18" t="n">
        <v>580</v>
      </c>
      <c r="Q62" s="17" t="s">
        <v>65</v>
      </c>
    </row>
    <row r="63" customFormat="false" ht="15" hidden="false" customHeight="true" outlineLevel="0" collapsed="false">
      <c r="A63" s="11" t="s">
        <v>171</v>
      </c>
      <c r="B63" s="11" t="s">
        <v>20</v>
      </c>
      <c r="C63" s="11" t="s">
        <v>155</v>
      </c>
      <c r="D63" s="11" t="s">
        <v>172</v>
      </c>
      <c r="E63" s="11" t="s">
        <v>48</v>
      </c>
      <c r="F63" s="11" t="s">
        <v>49</v>
      </c>
      <c r="G63" s="12" t="n">
        <v>75</v>
      </c>
      <c r="H63" s="12" t="n">
        <v>503</v>
      </c>
      <c r="I63" s="13" t="n">
        <f aca="false">IF(H63=0,"",G63/H63)</f>
        <v>0.149105367793241</v>
      </c>
      <c r="J63" s="14" t="n">
        <f aca="false">ROUND(H63*Resumen!$B$4,0)</f>
        <v>629</v>
      </c>
      <c r="K63" s="11" t="s">
        <v>9</v>
      </c>
      <c r="L63" s="14" t="n">
        <v>75</v>
      </c>
      <c r="M63" s="11" t="n">
        <v>-32.7393257</v>
      </c>
      <c r="N63" s="11" t="n">
        <v>-70.7178628</v>
      </c>
      <c r="O63" s="15" t="n">
        <v>588</v>
      </c>
      <c r="P63" s="18" t="n">
        <v>588</v>
      </c>
      <c r="Q63" s="17" t="s">
        <v>65</v>
      </c>
    </row>
    <row r="64" customFormat="false" ht="15" hidden="false" customHeight="true" outlineLevel="0" collapsed="false">
      <c r="A64" s="11" t="s">
        <v>173</v>
      </c>
      <c r="B64" s="11" t="s">
        <v>20</v>
      </c>
      <c r="C64" s="11" t="s">
        <v>155</v>
      </c>
      <c r="D64" s="11" t="s">
        <v>174</v>
      </c>
      <c r="E64" s="11" t="s">
        <v>48</v>
      </c>
      <c r="F64" s="11" t="s">
        <v>49</v>
      </c>
      <c r="G64" s="12" t="n">
        <v>79</v>
      </c>
      <c r="H64" s="12" t="n">
        <v>483</v>
      </c>
      <c r="I64" s="13" t="n">
        <f aca="false">IF(H64=0,"",G64/H64)</f>
        <v>0.163561076604555</v>
      </c>
      <c r="J64" s="14" t="n">
        <f aca="false">ROUND(H64*Resumen!$B$4,0)</f>
        <v>604</v>
      </c>
      <c r="K64" s="11" t="s">
        <v>9</v>
      </c>
      <c r="L64" s="14" t="n">
        <v>79</v>
      </c>
      <c r="M64" s="11" t="n">
        <v>-32.8417601</v>
      </c>
      <c r="N64" s="11" t="n">
        <v>-70.9704915</v>
      </c>
      <c r="O64" s="15" t="n">
        <v>586</v>
      </c>
      <c r="P64" s="18" t="n">
        <v>586</v>
      </c>
      <c r="Q64" s="17" t="s">
        <v>65</v>
      </c>
    </row>
    <row r="65" customFormat="false" ht="15" hidden="false" customHeight="true" outlineLevel="0" collapsed="false">
      <c r="A65" s="11" t="s">
        <v>175</v>
      </c>
      <c r="B65" s="11" t="s">
        <v>20</v>
      </c>
      <c r="C65" s="11" t="s">
        <v>155</v>
      </c>
      <c r="D65" s="11" t="s">
        <v>176</v>
      </c>
      <c r="E65" s="11" t="s">
        <v>64</v>
      </c>
      <c r="F65" s="11" t="s">
        <v>49</v>
      </c>
      <c r="G65" s="12" t="n">
        <v>22</v>
      </c>
      <c r="H65" s="12" t="n">
        <v>430</v>
      </c>
      <c r="I65" s="13" t="n">
        <f aca="false">IF(H65=0,"",G65/H65)</f>
        <v>0.0511627906976744</v>
      </c>
      <c r="J65" s="14" t="n">
        <f aca="false">ROUND(H65*Resumen!$B$4,0)</f>
        <v>538</v>
      </c>
      <c r="K65" s="11" t="s">
        <v>9</v>
      </c>
      <c r="L65" s="14" t="n">
        <v>22</v>
      </c>
      <c r="M65" s="11" t="n">
        <v>-33.4834342</v>
      </c>
      <c r="N65" s="11" t="n">
        <v>-70.6955562</v>
      </c>
      <c r="O65" s="15" t="n">
        <v>497</v>
      </c>
      <c r="P65" s="18" t="n">
        <v>497</v>
      </c>
      <c r="Q65" s="17" t="s">
        <v>65</v>
      </c>
    </row>
    <row r="66" customFormat="false" ht="15" hidden="false" customHeight="true" outlineLevel="0" collapsed="false">
      <c r="A66" s="11" t="s">
        <v>177</v>
      </c>
      <c r="B66" s="11" t="s">
        <v>20</v>
      </c>
      <c r="C66" s="11" t="s">
        <v>155</v>
      </c>
      <c r="D66" s="11" t="s">
        <v>178</v>
      </c>
      <c r="E66" s="11" t="s">
        <v>64</v>
      </c>
      <c r="F66" s="11" t="s">
        <v>49</v>
      </c>
      <c r="G66" s="12" t="n">
        <v>14</v>
      </c>
      <c r="H66" s="12" t="n">
        <v>434</v>
      </c>
      <c r="I66" s="13" t="n">
        <f aca="false">IF(H66=0,"",G66/H66)</f>
        <v>0.032258064516129</v>
      </c>
      <c r="J66" s="14" t="n">
        <f aca="false">ROUND(H66*Resumen!$B$4,0)</f>
        <v>543</v>
      </c>
      <c r="K66" s="11" t="s">
        <v>9</v>
      </c>
      <c r="L66" s="14" t="n">
        <v>14</v>
      </c>
      <c r="M66" s="11" t="n">
        <v>-33.42435</v>
      </c>
      <c r="N66" s="11" t="n">
        <v>-70.7206257</v>
      </c>
      <c r="O66" s="15" t="n">
        <v>504</v>
      </c>
      <c r="P66" s="18" t="n">
        <v>504</v>
      </c>
      <c r="Q66" s="17" t="s">
        <v>65</v>
      </c>
    </row>
    <row r="67" customFormat="false" ht="15" hidden="false" customHeight="true" outlineLevel="0" collapsed="false">
      <c r="A67" s="11" t="s">
        <v>179</v>
      </c>
      <c r="B67" s="11" t="s">
        <v>20</v>
      </c>
      <c r="C67" s="11" t="s">
        <v>155</v>
      </c>
      <c r="D67" s="11" t="s">
        <v>80</v>
      </c>
      <c r="E67" s="11" t="s">
        <v>64</v>
      </c>
      <c r="F67" s="11" t="s">
        <v>49</v>
      </c>
      <c r="G67" s="12" t="n">
        <v>30</v>
      </c>
      <c r="H67" s="12" t="n">
        <v>425</v>
      </c>
      <c r="I67" s="13" t="n">
        <f aca="false">IF(H67=0,"",G67/H67)</f>
        <v>0.0705882352941177</v>
      </c>
      <c r="J67" s="14" t="n">
        <f aca="false">ROUND(H67*Resumen!$B$4,0)</f>
        <v>531</v>
      </c>
      <c r="K67" s="11" t="s">
        <v>9</v>
      </c>
      <c r="L67" s="14" t="n">
        <v>28</v>
      </c>
      <c r="M67" s="11" t="n">
        <v>-33.5465722</v>
      </c>
      <c r="N67" s="11" t="n">
        <v>-70.6667515</v>
      </c>
      <c r="O67" s="15" t="n">
        <v>493</v>
      </c>
      <c r="P67" s="18" t="n">
        <v>493</v>
      </c>
      <c r="Q67" s="17" t="s">
        <v>65</v>
      </c>
    </row>
    <row r="68" customFormat="false" ht="15" hidden="false" customHeight="true" outlineLevel="0" collapsed="false">
      <c r="A68" s="11" t="s">
        <v>180</v>
      </c>
      <c r="B68" s="11" t="s">
        <v>20</v>
      </c>
      <c r="C68" s="11" t="s">
        <v>155</v>
      </c>
      <c r="D68" s="11" t="s">
        <v>82</v>
      </c>
      <c r="E68" s="11" t="s">
        <v>64</v>
      </c>
      <c r="F68" s="11" t="s">
        <v>49</v>
      </c>
      <c r="G68" s="12" t="n">
        <v>14</v>
      </c>
      <c r="H68" s="12" t="n">
        <v>434</v>
      </c>
      <c r="I68" s="13" t="n">
        <f aca="false">IF(H68=0,"",G68/H68)</f>
        <v>0.032258064516129</v>
      </c>
      <c r="J68" s="14" t="n">
        <f aca="false">ROUND(H68*Resumen!$B$4,0)</f>
        <v>543</v>
      </c>
      <c r="K68" s="11" t="s">
        <v>9</v>
      </c>
      <c r="L68" s="14" t="n">
        <v>15</v>
      </c>
      <c r="M68" s="11" t="n">
        <v>-33.4522248</v>
      </c>
      <c r="N68" s="11" t="n">
        <v>-70.6790511</v>
      </c>
      <c r="O68" s="15" t="n">
        <v>500</v>
      </c>
      <c r="P68" s="18" t="n">
        <v>500</v>
      </c>
      <c r="Q68" s="17" t="s">
        <v>65</v>
      </c>
    </row>
    <row r="69" customFormat="false" ht="15" hidden="false" customHeight="true" outlineLevel="0" collapsed="false">
      <c r="A69" s="11" t="s">
        <v>181</v>
      </c>
      <c r="B69" s="11" t="s">
        <v>20</v>
      </c>
      <c r="C69" s="11" t="s">
        <v>155</v>
      </c>
      <c r="D69" s="11" t="s">
        <v>88</v>
      </c>
      <c r="E69" s="11" t="s">
        <v>64</v>
      </c>
      <c r="F69" s="11" t="s">
        <v>49</v>
      </c>
      <c r="G69" s="12" t="n">
        <v>34</v>
      </c>
      <c r="H69" s="12" t="n">
        <v>424</v>
      </c>
      <c r="I69" s="13" t="n">
        <f aca="false">IF(H69=0,"",G69/H69)</f>
        <v>0.080188679245283</v>
      </c>
      <c r="J69" s="14" t="n">
        <f aca="false">ROUND(H69*Resumen!$B$4,0)</f>
        <v>530</v>
      </c>
      <c r="K69" s="11" t="s">
        <v>9</v>
      </c>
      <c r="L69" s="14" t="n">
        <v>33</v>
      </c>
      <c r="M69" s="11" t="n">
        <v>-33.5746134</v>
      </c>
      <c r="N69" s="11" t="n">
        <v>-70.6321291</v>
      </c>
      <c r="O69" s="15" t="n">
        <v>493</v>
      </c>
      <c r="P69" s="18" t="n">
        <v>493</v>
      </c>
      <c r="Q69" s="17" t="s">
        <v>65</v>
      </c>
    </row>
    <row r="70" customFormat="false" ht="15" hidden="false" customHeight="true" outlineLevel="0" collapsed="false">
      <c r="A70" s="11" t="s">
        <v>182</v>
      </c>
      <c r="B70" s="11" t="s">
        <v>20</v>
      </c>
      <c r="C70" s="11" t="s">
        <v>155</v>
      </c>
      <c r="D70" s="11" t="s">
        <v>135</v>
      </c>
      <c r="E70" s="11" t="s">
        <v>64</v>
      </c>
      <c r="F70" s="11" t="s">
        <v>49</v>
      </c>
      <c r="G70" s="12" t="n">
        <v>22</v>
      </c>
      <c r="H70" s="12" t="n">
        <v>441</v>
      </c>
      <c r="I70" s="13" t="n">
        <f aca="false">IF(H70=0,"",G70/H70)</f>
        <v>0.0498866213151927</v>
      </c>
      <c r="J70" s="14" t="n">
        <f aca="false">ROUND(H70*Resumen!$B$4,0)</f>
        <v>551</v>
      </c>
      <c r="K70" s="11" t="s">
        <v>9</v>
      </c>
      <c r="L70" s="14" t="n">
        <v>23</v>
      </c>
      <c r="M70" s="11" t="n">
        <v>-33.4430242</v>
      </c>
      <c r="N70" s="11" t="n">
        <v>-70.5337236</v>
      </c>
      <c r="O70" s="15" t="n">
        <v>511</v>
      </c>
      <c r="P70" s="18" t="n">
        <v>511</v>
      </c>
      <c r="Q70" s="17" t="s">
        <v>65</v>
      </c>
    </row>
    <row r="71" customFormat="false" ht="15" hidden="false" customHeight="true" outlineLevel="0" collapsed="false">
      <c r="A71" s="11" t="s">
        <v>183</v>
      </c>
      <c r="B71" s="11" t="s">
        <v>20</v>
      </c>
      <c r="C71" s="11" t="s">
        <v>155</v>
      </c>
      <c r="D71" s="11" t="s">
        <v>92</v>
      </c>
      <c r="E71" s="11" t="s">
        <v>64</v>
      </c>
      <c r="F71" s="11" t="s">
        <v>49</v>
      </c>
      <c r="G71" s="12" t="n">
        <v>25</v>
      </c>
      <c r="H71" s="12" t="n">
        <v>432</v>
      </c>
      <c r="I71" s="13" t="n">
        <f aca="false">IF(H71=0,"",G71/H71)</f>
        <v>0.0578703703703704</v>
      </c>
      <c r="J71" s="14" t="n">
        <f aca="false">ROUND(H71*Resumen!$B$4,0)</f>
        <v>540</v>
      </c>
      <c r="K71" s="11" t="s">
        <v>9</v>
      </c>
      <c r="L71" s="14" t="n">
        <v>25</v>
      </c>
      <c r="M71" s="11" t="n">
        <v>-33.5092379</v>
      </c>
      <c r="N71" s="11" t="n">
        <v>-70.5900473</v>
      </c>
      <c r="O71" s="15" t="n">
        <v>502</v>
      </c>
      <c r="P71" s="18" t="n">
        <v>502</v>
      </c>
      <c r="Q71" s="17" t="s">
        <v>65</v>
      </c>
    </row>
    <row r="72" customFormat="false" ht="15" hidden="false" customHeight="true" outlineLevel="0" collapsed="false">
      <c r="A72" s="11" t="s">
        <v>184</v>
      </c>
      <c r="B72" s="11" t="s">
        <v>20</v>
      </c>
      <c r="C72" s="11" t="s">
        <v>155</v>
      </c>
      <c r="D72" s="11" t="s">
        <v>140</v>
      </c>
      <c r="E72" s="11" t="s">
        <v>64</v>
      </c>
      <c r="F72" s="11" t="s">
        <v>49</v>
      </c>
      <c r="G72" s="12" t="n">
        <v>18</v>
      </c>
      <c r="H72" s="12" t="n">
        <v>437</v>
      </c>
      <c r="I72" s="13" t="n">
        <f aca="false">IF(H72=0,"",G72/H72)</f>
        <v>0.0411899313501144</v>
      </c>
      <c r="J72" s="14" t="n">
        <f aca="false">ROUND(H72*Resumen!$B$4,0)</f>
        <v>546</v>
      </c>
      <c r="K72" s="11" t="s">
        <v>9</v>
      </c>
      <c r="L72" s="14" t="n">
        <v>18</v>
      </c>
      <c r="M72" s="11" t="n">
        <v>-33.4541894</v>
      </c>
      <c r="N72" s="11" t="n">
        <v>-70.604972</v>
      </c>
      <c r="O72" s="15" t="n">
        <v>509</v>
      </c>
      <c r="P72" s="18" t="n">
        <v>509</v>
      </c>
      <c r="Q72" s="17" t="s">
        <v>65</v>
      </c>
    </row>
    <row r="73" customFormat="false" ht="15" hidden="false" customHeight="true" outlineLevel="0" collapsed="false">
      <c r="A73" s="11" t="s">
        <v>185</v>
      </c>
      <c r="B73" s="11" t="s">
        <v>20</v>
      </c>
      <c r="C73" s="11" t="s">
        <v>155</v>
      </c>
      <c r="D73" s="11" t="s">
        <v>142</v>
      </c>
      <c r="E73" s="11" t="s">
        <v>64</v>
      </c>
      <c r="F73" s="11" t="s">
        <v>49</v>
      </c>
      <c r="G73" s="12" t="n">
        <v>20</v>
      </c>
      <c r="H73" s="12" t="n">
        <v>429</v>
      </c>
      <c r="I73" s="13" t="n">
        <f aca="false">IF(H73=0,"",G73/H73)</f>
        <v>0.0466200466200466</v>
      </c>
      <c r="J73" s="14" t="n">
        <f aca="false">ROUND(H73*Resumen!$B$4,0)</f>
        <v>536</v>
      </c>
      <c r="K73" s="11" t="s">
        <v>9</v>
      </c>
      <c r="L73" s="14" t="n">
        <v>20</v>
      </c>
      <c r="M73" s="11" t="n">
        <v>-33.4927335</v>
      </c>
      <c r="N73" s="11" t="n">
        <v>-70.6818026</v>
      </c>
      <c r="O73" s="15" t="n">
        <v>496</v>
      </c>
      <c r="P73" s="18" t="n">
        <v>496</v>
      </c>
      <c r="Q73" s="17" t="s">
        <v>65</v>
      </c>
    </row>
    <row r="74" customFormat="false" ht="15" hidden="false" customHeight="true" outlineLevel="0" collapsed="false">
      <c r="A74" s="11" t="s">
        <v>186</v>
      </c>
      <c r="B74" s="11" t="s">
        <v>20</v>
      </c>
      <c r="C74" s="11" t="s">
        <v>155</v>
      </c>
      <c r="D74" s="11" t="s">
        <v>187</v>
      </c>
      <c r="E74" s="11" t="s">
        <v>64</v>
      </c>
      <c r="F74" s="11" t="s">
        <v>49</v>
      </c>
      <c r="G74" s="12" t="n">
        <v>16</v>
      </c>
      <c r="H74" s="12" t="n">
        <v>446</v>
      </c>
      <c r="I74" s="13" t="n">
        <f aca="false">IF(H74=0,"",G74/H74)</f>
        <v>0.0358744394618834</v>
      </c>
      <c r="J74" s="14" t="n">
        <f aca="false">ROUND(H74*Resumen!$B$4,0)</f>
        <v>558</v>
      </c>
      <c r="K74" s="11" t="s">
        <v>9</v>
      </c>
      <c r="L74" s="14" t="n">
        <v>18</v>
      </c>
      <c r="M74" s="11" t="n">
        <v>-33.3831905</v>
      </c>
      <c r="N74" s="11" t="n">
        <v>-70.5491326</v>
      </c>
      <c r="O74" s="15" t="n">
        <v>516</v>
      </c>
      <c r="P74" s="18" t="n">
        <v>516</v>
      </c>
      <c r="Q74" s="17" t="s">
        <v>65</v>
      </c>
    </row>
    <row r="75" customFormat="false" ht="15" hidden="false" customHeight="true" outlineLevel="0" collapsed="false">
      <c r="A75" s="11" t="s">
        <v>188</v>
      </c>
      <c r="B75" s="11" t="s">
        <v>20</v>
      </c>
      <c r="C75" s="11" t="s">
        <v>155</v>
      </c>
      <c r="D75" s="11" t="s">
        <v>189</v>
      </c>
      <c r="E75" s="11" t="s">
        <v>64</v>
      </c>
      <c r="F75" s="11" t="s">
        <v>49</v>
      </c>
      <c r="G75" s="12" t="n">
        <v>51</v>
      </c>
      <c r="H75" s="12" t="n">
        <v>459</v>
      </c>
      <c r="I75" s="13" t="n">
        <f aca="false">IF(H75=0,"",G75/H75)</f>
        <v>0.111111111111111</v>
      </c>
      <c r="J75" s="14" t="n">
        <f aca="false">ROUND(H75*Resumen!$B$4,0)</f>
        <v>574</v>
      </c>
      <c r="K75" s="11" t="s">
        <v>9</v>
      </c>
      <c r="L75" s="14" t="n">
        <v>52</v>
      </c>
      <c r="M75" s="11" t="n">
        <v>-33.0863887</v>
      </c>
      <c r="N75" s="11" t="n">
        <v>-70.9282252</v>
      </c>
      <c r="O75" s="15" t="n">
        <v>560</v>
      </c>
      <c r="P75" s="18" t="n">
        <v>560</v>
      </c>
      <c r="Q75" s="17" t="s">
        <v>65</v>
      </c>
    </row>
    <row r="76" customFormat="false" ht="15" hidden="false" customHeight="true" outlineLevel="0" collapsed="false">
      <c r="A76" s="11" t="s">
        <v>190</v>
      </c>
      <c r="B76" s="11" t="s">
        <v>20</v>
      </c>
      <c r="C76" s="11" t="s">
        <v>155</v>
      </c>
      <c r="D76" s="11" t="s">
        <v>191</v>
      </c>
      <c r="E76" s="11" t="s">
        <v>64</v>
      </c>
      <c r="F76" s="11" t="s">
        <v>49</v>
      </c>
      <c r="G76" s="12" t="n">
        <v>42</v>
      </c>
      <c r="H76" s="12" t="n">
        <v>427</v>
      </c>
      <c r="I76" s="13" t="n">
        <f aca="false">IF(H76=0,"",G76/H76)</f>
        <v>0.0983606557377049</v>
      </c>
      <c r="J76" s="14" t="n">
        <f aca="false">ROUND(H76*Resumen!$B$4,0)</f>
        <v>534</v>
      </c>
      <c r="K76" s="11" t="s">
        <v>9</v>
      </c>
      <c r="L76" s="14" t="n">
        <v>42</v>
      </c>
      <c r="M76" s="11" t="n">
        <v>-33.5833005</v>
      </c>
      <c r="N76" s="11" t="n">
        <v>-70.556319</v>
      </c>
      <c r="O76" s="15" t="n">
        <v>495</v>
      </c>
      <c r="P76" s="18" t="n">
        <v>495</v>
      </c>
      <c r="Q76" s="17" t="s">
        <v>65</v>
      </c>
    </row>
    <row r="77" customFormat="false" ht="15" hidden="false" customHeight="true" outlineLevel="0" collapsed="false">
      <c r="A77" s="11" t="s">
        <v>192</v>
      </c>
      <c r="B77" s="11" t="s">
        <v>20</v>
      </c>
      <c r="C77" s="11" t="s">
        <v>155</v>
      </c>
      <c r="D77" s="11" t="s">
        <v>193</v>
      </c>
      <c r="E77" s="11" t="s">
        <v>64</v>
      </c>
      <c r="F77" s="11" t="s">
        <v>49</v>
      </c>
      <c r="G77" s="12" t="n">
        <v>67</v>
      </c>
      <c r="H77" s="12" t="n">
        <v>442</v>
      </c>
      <c r="I77" s="13" t="n">
        <f aca="false">IF(H77=0,"",G77/H77)</f>
        <v>0.15158371040724</v>
      </c>
      <c r="J77" s="14" t="n">
        <f aca="false">ROUND(H77*Resumen!$B$4,0)</f>
        <v>553</v>
      </c>
      <c r="K77" s="11" t="s">
        <v>9</v>
      </c>
      <c r="L77" s="14" t="n">
        <v>69</v>
      </c>
      <c r="M77" s="11" t="n">
        <v>-33.7435391</v>
      </c>
      <c r="N77" s="11" t="n">
        <v>-69.9890364</v>
      </c>
      <c r="O77" s="15" t="n">
        <v>573</v>
      </c>
      <c r="P77" s="18" t="n">
        <v>573</v>
      </c>
      <c r="Q77" s="17" t="s">
        <v>65</v>
      </c>
    </row>
    <row r="78" customFormat="false" ht="15" hidden="false" customHeight="true" outlineLevel="0" collapsed="false">
      <c r="A78" s="11" t="s">
        <v>194</v>
      </c>
      <c r="B78" s="11" t="s">
        <v>20</v>
      </c>
      <c r="C78" s="11" t="s">
        <v>155</v>
      </c>
      <c r="D78" s="11" t="s">
        <v>195</v>
      </c>
      <c r="E78" s="11" t="s">
        <v>64</v>
      </c>
      <c r="F78" s="11" t="s">
        <v>49</v>
      </c>
      <c r="G78" s="12" t="n">
        <v>31</v>
      </c>
      <c r="H78" s="12" t="n">
        <v>419</v>
      </c>
      <c r="I78" s="13" t="n">
        <f aca="false">IF(H78=0,"",G78/H78)</f>
        <v>0.0739856801909308</v>
      </c>
      <c r="J78" s="14" t="n">
        <f aca="false">ROUND(H78*Resumen!$B$4,0)</f>
        <v>524</v>
      </c>
      <c r="K78" s="11" t="s">
        <v>9</v>
      </c>
      <c r="L78" s="14" t="n">
        <v>31</v>
      </c>
      <c r="M78" s="11" t="n">
        <v>-33.5950002</v>
      </c>
      <c r="N78" s="11" t="n">
        <v>-70.6978424</v>
      </c>
      <c r="O78" s="15" t="n">
        <v>484</v>
      </c>
      <c r="P78" s="18" t="n">
        <v>484</v>
      </c>
      <c r="Q78" s="17" t="s">
        <v>65</v>
      </c>
    </row>
    <row r="79" customFormat="false" ht="15" hidden="false" customHeight="true" outlineLevel="0" collapsed="false">
      <c r="A79" s="11" t="s">
        <v>196</v>
      </c>
      <c r="B79" s="11" t="s">
        <v>20</v>
      </c>
      <c r="C79" s="11" t="s">
        <v>155</v>
      </c>
      <c r="D79" s="11" t="s">
        <v>98</v>
      </c>
      <c r="E79" s="11" t="s">
        <v>64</v>
      </c>
      <c r="F79" s="11" t="s">
        <v>49</v>
      </c>
      <c r="G79" s="12" t="n">
        <v>35</v>
      </c>
      <c r="H79" s="12" t="n">
        <v>413</v>
      </c>
      <c r="I79" s="13" t="n">
        <f aca="false">IF(H79=0,"",G79/H79)</f>
        <v>0.0847457627118644</v>
      </c>
      <c r="J79" s="14" t="n">
        <f aca="false">ROUND(H79*Resumen!$B$4,0)</f>
        <v>516</v>
      </c>
      <c r="K79" s="11" t="s">
        <v>9</v>
      </c>
      <c r="L79" s="14" t="n">
        <v>37</v>
      </c>
      <c r="M79" s="11" t="n">
        <v>-33.6307372</v>
      </c>
      <c r="N79" s="11" t="n">
        <v>-70.7591428</v>
      </c>
      <c r="O79" s="15" t="n">
        <v>484</v>
      </c>
      <c r="P79" s="18" t="n">
        <v>484</v>
      </c>
      <c r="Q79" s="17" t="s">
        <v>65</v>
      </c>
    </row>
    <row r="80" customFormat="false" ht="15" hidden="false" customHeight="true" outlineLevel="0" collapsed="false">
      <c r="A80" s="11" t="s">
        <v>197</v>
      </c>
      <c r="B80" s="11" t="s">
        <v>20</v>
      </c>
      <c r="C80" s="11" t="s">
        <v>155</v>
      </c>
      <c r="D80" s="11" t="s">
        <v>198</v>
      </c>
      <c r="E80" s="11" t="s">
        <v>64</v>
      </c>
      <c r="F80" s="11" t="s">
        <v>49</v>
      </c>
      <c r="G80" s="12" t="n">
        <v>58</v>
      </c>
      <c r="H80" s="12" t="n">
        <v>396</v>
      </c>
      <c r="I80" s="13" t="n">
        <f aca="false">IF(H80=0,"",G80/H80)</f>
        <v>0.146464646464646</v>
      </c>
      <c r="J80" s="14" t="n">
        <f aca="false">ROUND(H80*Resumen!$B$4,0)</f>
        <v>495</v>
      </c>
      <c r="K80" s="11" t="s">
        <v>9</v>
      </c>
      <c r="L80" s="14" t="n">
        <v>58</v>
      </c>
      <c r="M80" s="11" t="n">
        <v>-33.8160671</v>
      </c>
      <c r="N80" s="11" t="n">
        <v>-70.7436049</v>
      </c>
      <c r="O80" s="15" t="n">
        <v>458</v>
      </c>
      <c r="P80" s="18" t="n">
        <v>458</v>
      </c>
      <c r="Q80" s="17" t="s">
        <v>65</v>
      </c>
    </row>
    <row r="81" customFormat="false" ht="15" hidden="false" customHeight="true" outlineLevel="0" collapsed="false">
      <c r="A81" s="11" t="s">
        <v>199</v>
      </c>
      <c r="B81" s="11" t="s">
        <v>20</v>
      </c>
      <c r="C81" s="11" t="s">
        <v>155</v>
      </c>
      <c r="D81" s="11" t="s">
        <v>100</v>
      </c>
      <c r="E81" s="11" t="s">
        <v>64</v>
      </c>
      <c r="F81" s="11" t="s">
        <v>49</v>
      </c>
      <c r="G81" s="12" t="n">
        <v>82</v>
      </c>
      <c r="H81" s="12" t="n">
        <v>388</v>
      </c>
      <c r="I81" s="13" t="n">
        <f aca="false">IF(H81=0,"",G81/H81)</f>
        <v>0.211340206185567</v>
      </c>
      <c r="J81" s="14" t="n">
        <f aca="false">ROUND(H81*Resumen!$B$4,0)</f>
        <v>485</v>
      </c>
      <c r="K81" s="11" t="s">
        <v>9</v>
      </c>
      <c r="L81" s="14" t="n">
        <v>82</v>
      </c>
      <c r="M81" s="11" t="n">
        <v>-33.6796771</v>
      </c>
      <c r="N81" s="11" t="n">
        <v>-71.2109877</v>
      </c>
      <c r="O81" s="15" t="n">
        <v>513</v>
      </c>
      <c r="P81" s="18" t="n">
        <v>513</v>
      </c>
      <c r="Q81" s="17" t="s">
        <v>65</v>
      </c>
    </row>
    <row r="82" customFormat="false" ht="15" hidden="false" customHeight="true" outlineLevel="0" collapsed="false">
      <c r="A82" s="11" t="s">
        <v>200</v>
      </c>
      <c r="B82" s="11" t="s">
        <v>20</v>
      </c>
      <c r="C82" s="11" t="s">
        <v>155</v>
      </c>
      <c r="D82" s="11" t="s">
        <v>152</v>
      </c>
      <c r="E82" s="11" t="s">
        <v>64</v>
      </c>
      <c r="F82" s="11" t="s">
        <v>49</v>
      </c>
      <c r="G82" s="12" t="n">
        <v>149</v>
      </c>
      <c r="H82" s="12" t="n">
        <v>351</v>
      </c>
      <c r="I82" s="13" t="n">
        <f aca="false">IF(H82=0,"",G82/H82)</f>
        <v>0.424501424501425</v>
      </c>
      <c r="J82" s="14" t="n">
        <f aca="false">ROUND(H82*Resumen!$B$4,0)</f>
        <v>439</v>
      </c>
      <c r="K82" s="11" t="s">
        <v>9</v>
      </c>
      <c r="L82" s="14" t="n">
        <v>147</v>
      </c>
      <c r="M82" s="11" t="n">
        <v>-34.0548405</v>
      </c>
      <c r="N82" s="11" t="n">
        <v>-71.2188305</v>
      </c>
      <c r="O82" s="15" t="n">
        <v>460</v>
      </c>
      <c r="P82" s="18" t="n">
        <v>460</v>
      </c>
      <c r="Q82" s="17" t="s">
        <v>65</v>
      </c>
    </row>
    <row r="83" customFormat="false" ht="15" hidden="false" customHeight="true" outlineLevel="0" collapsed="false">
      <c r="A83" s="11" t="s">
        <v>201</v>
      </c>
      <c r="B83" s="11" t="s">
        <v>20</v>
      </c>
      <c r="C83" s="11" t="s">
        <v>155</v>
      </c>
      <c r="D83" s="11" t="s">
        <v>105</v>
      </c>
      <c r="E83" s="11" t="s">
        <v>64</v>
      </c>
      <c r="F83" s="11" t="s">
        <v>49</v>
      </c>
      <c r="G83" s="12" t="n">
        <v>54</v>
      </c>
      <c r="H83" s="12" t="n">
        <v>402</v>
      </c>
      <c r="I83" s="13" t="n">
        <f aca="false">IF(H83=0,"",G83/H83)</f>
        <v>0.134328358208955</v>
      </c>
      <c r="J83" s="14" t="n">
        <f aca="false">ROUND(H83*Resumen!$B$4,0)</f>
        <v>503</v>
      </c>
      <c r="K83" s="11" t="s">
        <v>9</v>
      </c>
      <c r="L83" s="14" t="n">
        <v>54</v>
      </c>
      <c r="M83" s="11" t="n">
        <v>-33.6592519</v>
      </c>
      <c r="N83" s="11" t="n">
        <v>-70.9272695</v>
      </c>
      <c r="O83" s="15" t="n">
        <v>486</v>
      </c>
      <c r="P83" s="18" t="n">
        <v>486</v>
      </c>
      <c r="Q83" s="17" t="s">
        <v>65</v>
      </c>
    </row>
    <row r="84" customFormat="false" ht="15" hidden="false" customHeight="true" outlineLevel="0" collapsed="false">
      <c r="A84" s="11" t="s">
        <v>202</v>
      </c>
      <c r="B84" s="11" t="s">
        <v>20</v>
      </c>
      <c r="C84" s="11" t="s">
        <v>155</v>
      </c>
      <c r="D84" s="11" t="s">
        <v>107</v>
      </c>
      <c r="E84" s="11" t="s">
        <v>64</v>
      </c>
      <c r="F84" s="11" t="s">
        <v>49</v>
      </c>
      <c r="G84" s="12" t="n">
        <v>37</v>
      </c>
      <c r="H84" s="12" t="n">
        <v>416</v>
      </c>
      <c r="I84" s="13" t="n">
        <f aca="false">IF(H84=0,"",G84/H84)</f>
        <v>0.0889423076923077</v>
      </c>
      <c r="J84" s="14" t="n">
        <f aca="false">ROUND(H84*Resumen!$B$4,0)</f>
        <v>520</v>
      </c>
      <c r="K84" s="11" t="s">
        <v>9</v>
      </c>
      <c r="L84" s="14" t="n">
        <v>37</v>
      </c>
      <c r="M84" s="11" t="n">
        <v>-33.5678013</v>
      </c>
      <c r="N84" s="11" t="n">
        <v>-70.8156797</v>
      </c>
      <c r="O84" s="15" t="n">
        <v>496</v>
      </c>
      <c r="P84" s="18" t="n">
        <v>496</v>
      </c>
      <c r="Q84" s="17" t="s">
        <v>65</v>
      </c>
    </row>
    <row r="85" customFormat="false" ht="15" hidden="false" customHeight="true" outlineLevel="0" collapsed="false">
      <c r="A85" s="11" t="s">
        <v>203</v>
      </c>
      <c r="B85" s="11" t="s">
        <v>20</v>
      </c>
      <c r="C85" s="11" t="s">
        <v>155</v>
      </c>
      <c r="D85" s="11" t="s">
        <v>109</v>
      </c>
      <c r="E85" s="11" t="s">
        <v>64</v>
      </c>
      <c r="F85" s="11" t="s">
        <v>49</v>
      </c>
      <c r="G85" s="12" t="n">
        <v>48</v>
      </c>
      <c r="H85" s="12" t="n">
        <v>408</v>
      </c>
      <c r="I85" s="13" t="n">
        <f aca="false">IF(H85=0,"",G85/H85)</f>
        <v>0.117647058823529</v>
      </c>
      <c r="J85" s="14" t="n">
        <f aca="false">ROUND(H85*Resumen!$B$4,0)</f>
        <v>510</v>
      </c>
      <c r="K85" s="11" t="s">
        <v>9</v>
      </c>
      <c r="L85" s="14" t="n">
        <v>48</v>
      </c>
      <c r="M85" s="11" t="n">
        <v>-33.6080054</v>
      </c>
      <c r="N85" s="11" t="n">
        <v>-70.9074328</v>
      </c>
      <c r="O85" s="15" t="n">
        <v>493</v>
      </c>
      <c r="P85" s="18" t="n">
        <v>493</v>
      </c>
      <c r="Q85" s="17" t="s">
        <v>65</v>
      </c>
    </row>
    <row r="86" customFormat="false" ht="15" hidden="false" customHeight="true" outlineLevel="0" collapsed="false">
      <c r="A86" s="11" t="s">
        <v>204</v>
      </c>
      <c r="B86" s="11" t="s">
        <v>20</v>
      </c>
      <c r="C86" s="11" t="s">
        <v>155</v>
      </c>
      <c r="D86" s="11" t="s">
        <v>111</v>
      </c>
      <c r="E86" s="11" t="s">
        <v>112</v>
      </c>
      <c r="F86" s="11" t="s">
        <v>49</v>
      </c>
      <c r="G86" s="12" t="n">
        <v>99</v>
      </c>
      <c r="H86" s="12" t="n">
        <v>362</v>
      </c>
      <c r="I86" s="13" t="n">
        <f aca="false">IF(H86=0,"",G86/H86)</f>
        <v>0.273480662983425</v>
      </c>
      <c r="J86" s="14" t="n">
        <f aca="false">ROUND(H86*Resumen!$B$4,0)</f>
        <v>453</v>
      </c>
      <c r="K86" s="11" t="s">
        <v>9</v>
      </c>
      <c r="L86" s="14" t="n">
        <v>98</v>
      </c>
      <c r="M86" s="11" t="n">
        <v>-34.1707999</v>
      </c>
      <c r="N86" s="11" t="n">
        <v>-70.7531065</v>
      </c>
      <c r="O86" s="15" t="n">
        <v>416</v>
      </c>
      <c r="P86" s="18" t="n">
        <v>416</v>
      </c>
      <c r="Q86" s="17" t="s">
        <v>65</v>
      </c>
    </row>
    <row r="87" customFormat="false" ht="15" hidden="false" customHeight="true" outlineLevel="0" collapsed="false">
      <c r="A87" s="11" t="s">
        <v>205</v>
      </c>
      <c r="B87" s="11" t="s">
        <v>20</v>
      </c>
      <c r="C87" s="11" t="s">
        <v>155</v>
      </c>
      <c r="D87" s="11" t="s">
        <v>114</v>
      </c>
      <c r="E87" s="11" t="s">
        <v>112</v>
      </c>
      <c r="F87" s="11" t="s">
        <v>49</v>
      </c>
      <c r="G87" s="12" t="n">
        <v>87</v>
      </c>
      <c r="H87" s="12" t="n">
        <v>381</v>
      </c>
      <c r="I87" s="13" t="n">
        <f aca="false">IF(H87=0,"",G87/H87)</f>
        <v>0.228346456692913</v>
      </c>
      <c r="J87" s="14" t="n">
        <f aca="false">ROUND(H87*Resumen!$B$4,0)</f>
        <v>476</v>
      </c>
      <c r="K87" s="11" t="s">
        <v>9</v>
      </c>
      <c r="L87" s="14" t="n">
        <v>86</v>
      </c>
      <c r="M87" s="11" t="n">
        <v>-34.0372831</v>
      </c>
      <c r="N87" s="11" t="n">
        <v>-70.629533</v>
      </c>
      <c r="O87" s="15" t="n">
        <v>445</v>
      </c>
      <c r="P87" s="18" t="n">
        <v>445</v>
      </c>
      <c r="Q87" s="17" t="s">
        <v>65</v>
      </c>
    </row>
    <row r="88" customFormat="false" ht="15" hidden="false" customHeight="true" outlineLevel="0" collapsed="false">
      <c r="A88" s="11" t="s">
        <v>206</v>
      </c>
      <c r="B88" s="11" t="s">
        <v>20</v>
      </c>
      <c r="C88" s="11" t="s">
        <v>155</v>
      </c>
      <c r="D88" s="11" t="s">
        <v>207</v>
      </c>
      <c r="E88" s="11" t="s">
        <v>112</v>
      </c>
      <c r="F88" s="11" t="s">
        <v>49</v>
      </c>
      <c r="G88" s="12" t="n">
        <v>105</v>
      </c>
      <c r="H88" s="12" t="n">
        <v>368</v>
      </c>
      <c r="I88" s="13" t="n">
        <f aca="false">IF(H88=0,"",G88/H88)</f>
        <v>0.285326086956522</v>
      </c>
      <c r="J88" s="14" t="n">
        <f aca="false">ROUND(H88*Resumen!$B$4,0)</f>
        <v>460</v>
      </c>
      <c r="K88" s="11" t="s">
        <v>9</v>
      </c>
      <c r="L88" s="14" t="n">
        <v>106</v>
      </c>
      <c r="M88" s="11" t="n">
        <v>-34.1668536</v>
      </c>
      <c r="N88" s="11" t="n">
        <v>-70.6404445</v>
      </c>
      <c r="O88" s="15" t="n">
        <v>424</v>
      </c>
      <c r="P88" s="18" t="n">
        <v>424</v>
      </c>
      <c r="Q88" s="17" t="s">
        <v>65</v>
      </c>
    </row>
    <row r="89" customFormat="false" ht="15" hidden="false" customHeight="true" outlineLevel="0" collapsed="false">
      <c r="A89" s="11" t="s">
        <v>208</v>
      </c>
      <c r="B89" s="11" t="s">
        <v>20</v>
      </c>
      <c r="C89" s="11" t="s">
        <v>155</v>
      </c>
      <c r="D89" s="11" t="s">
        <v>116</v>
      </c>
      <c r="E89" s="11" t="s">
        <v>112</v>
      </c>
      <c r="F89" s="11" t="s">
        <v>49</v>
      </c>
      <c r="G89" s="12" t="n">
        <v>135</v>
      </c>
      <c r="H89" s="12" t="n">
        <v>327</v>
      </c>
      <c r="I89" s="13" t="n">
        <f aca="false">IF(H89=0,"",G89/H89)</f>
        <v>0.412844036697248</v>
      </c>
      <c r="J89" s="14" t="n">
        <f aca="false">ROUND(H89*Resumen!$B$4,0)</f>
        <v>409</v>
      </c>
      <c r="K89" s="11" t="s">
        <v>9</v>
      </c>
      <c r="L89" s="14" t="n">
        <v>135</v>
      </c>
      <c r="M89" s="11" t="n">
        <v>-34.4446878</v>
      </c>
      <c r="N89" s="11" t="n">
        <v>-70.9474659</v>
      </c>
      <c r="O89" s="15" t="n">
        <v>383</v>
      </c>
      <c r="P89" s="18" t="n">
        <v>383</v>
      </c>
      <c r="Q89" s="17" t="s">
        <v>65</v>
      </c>
    </row>
    <row r="90" customFormat="false" ht="15" hidden="false" customHeight="true" outlineLevel="0" collapsed="false">
      <c r="A90" s="11" t="s">
        <v>209</v>
      </c>
      <c r="B90" s="11" t="s">
        <v>20</v>
      </c>
      <c r="C90" s="11" t="s">
        <v>155</v>
      </c>
      <c r="D90" s="11" t="s">
        <v>210</v>
      </c>
      <c r="E90" s="11" t="s">
        <v>112</v>
      </c>
      <c r="F90" s="11" t="s">
        <v>49</v>
      </c>
      <c r="G90" s="12" t="n">
        <v>78</v>
      </c>
      <c r="H90" s="12" t="n">
        <v>382</v>
      </c>
      <c r="I90" s="13" t="n">
        <f aca="false">IF(H90=0,"",G90/H90)</f>
        <v>0.204188481675393</v>
      </c>
      <c r="J90" s="14" t="n">
        <f aca="false">ROUND(H90*Resumen!$B$4,0)</f>
        <v>478</v>
      </c>
      <c r="K90" s="11" t="s">
        <v>9</v>
      </c>
      <c r="L90" s="14" t="n">
        <v>76</v>
      </c>
      <c r="M90" s="11" t="n">
        <v>-33.9799035</v>
      </c>
      <c r="N90" s="11" t="n">
        <v>-70.7121737</v>
      </c>
      <c r="O90" s="15" t="n">
        <v>440</v>
      </c>
      <c r="P90" s="18" t="n">
        <v>440</v>
      </c>
      <c r="Q90" s="17" t="s">
        <v>65</v>
      </c>
    </row>
    <row r="91" customFormat="false" ht="15" hidden="false" customHeight="true" outlineLevel="0" collapsed="false">
      <c r="A91" s="11" t="s">
        <v>211</v>
      </c>
      <c r="B91" s="11" t="s">
        <v>20</v>
      </c>
      <c r="C91" s="11" t="s">
        <v>155</v>
      </c>
      <c r="D91" s="11" t="s">
        <v>212</v>
      </c>
      <c r="E91" s="11" t="s">
        <v>112</v>
      </c>
      <c r="F91" s="11" t="s">
        <v>49</v>
      </c>
      <c r="G91" s="12" t="n">
        <v>135</v>
      </c>
      <c r="H91" s="12" t="n">
        <v>333</v>
      </c>
      <c r="I91" s="13" t="n">
        <f aca="false">IF(H91=0,"",G91/H91)</f>
        <v>0.405405405405405</v>
      </c>
      <c r="J91" s="14" t="n">
        <f aca="false">ROUND(H91*Resumen!$B$4,0)</f>
        <v>416</v>
      </c>
      <c r="K91" s="11" t="s">
        <v>9</v>
      </c>
      <c r="L91" s="14" t="n">
        <v>135</v>
      </c>
      <c r="M91" s="11" t="n">
        <v>-34.362267</v>
      </c>
      <c r="N91" s="11" t="n">
        <v>-70.9662005</v>
      </c>
      <c r="O91" s="15" t="n">
        <v>398</v>
      </c>
      <c r="P91" s="18" t="n">
        <v>398</v>
      </c>
      <c r="Q91" s="17" t="s">
        <v>65</v>
      </c>
    </row>
    <row r="92" customFormat="false" ht="15" hidden="false" customHeight="true" outlineLevel="0" collapsed="false">
      <c r="A92" s="11" t="s">
        <v>213</v>
      </c>
      <c r="B92" s="11" t="s">
        <v>20</v>
      </c>
      <c r="C92" s="11" t="s">
        <v>155</v>
      </c>
      <c r="D92" s="11" t="s">
        <v>214</v>
      </c>
      <c r="E92" s="11" t="s">
        <v>112</v>
      </c>
      <c r="F92" s="11" t="s">
        <v>49</v>
      </c>
      <c r="G92" s="12" t="n">
        <v>153</v>
      </c>
      <c r="H92" s="12" t="n">
        <v>321</v>
      </c>
      <c r="I92" s="13" t="n">
        <f aca="false">IF(H92=0,"",G92/H92)</f>
        <v>0.476635514018692</v>
      </c>
      <c r="J92" s="14" t="n">
        <f aca="false">ROUND(H92*Resumen!$B$4,0)</f>
        <v>401</v>
      </c>
      <c r="K92" s="11" t="s">
        <v>9</v>
      </c>
      <c r="L92" s="14" t="n">
        <v>154</v>
      </c>
      <c r="M92" s="11" t="n">
        <v>-34.422284</v>
      </c>
      <c r="N92" s="11" t="n">
        <v>-71.0982735</v>
      </c>
      <c r="O92" s="15" t="n">
        <v>390</v>
      </c>
      <c r="P92" s="18" t="n">
        <v>390</v>
      </c>
      <c r="Q92" s="17" t="s">
        <v>65</v>
      </c>
    </row>
    <row r="93" customFormat="false" ht="15" hidden="false" customHeight="true" outlineLevel="0" collapsed="false">
      <c r="A93" s="11" t="s">
        <v>215</v>
      </c>
      <c r="B93" s="11" t="s">
        <v>20</v>
      </c>
      <c r="C93" s="11" t="s">
        <v>155</v>
      </c>
      <c r="D93" s="11" t="s">
        <v>216</v>
      </c>
      <c r="E93" s="11" t="s">
        <v>112</v>
      </c>
      <c r="F93" s="11" t="s">
        <v>49</v>
      </c>
      <c r="G93" s="12" t="n">
        <v>194</v>
      </c>
      <c r="H93" s="12" t="n">
        <v>300</v>
      </c>
      <c r="I93" s="13" t="n">
        <f aca="false">IF(H93=0,"",G93/H93)</f>
        <v>0.646666666666667</v>
      </c>
      <c r="J93" s="14" t="n">
        <f aca="false">ROUND(H93*Resumen!$B$4,0)</f>
        <v>375</v>
      </c>
      <c r="K93" s="11" t="s">
        <v>9</v>
      </c>
      <c r="L93" s="14" t="n">
        <v>193</v>
      </c>
      <c r="M93" s="11" t="n">
        <v>-34.400088</v>
      </c>
      <c r="N93" s="11" t="n">
        <v>-71.6182815</v>
      </c>
      <c r="O93" s="15" t="n">
        <v>403</v>
      </c>
      <c r="P93" s="18" t="n">
        <v>403</v>
      </c>
      <c r="Q93" s="17" t="s">
        <v>65</v>
      </c>
    </row>
    <row r="94" customFormat="false" ht="15" hidden="false" customHeight="true" outlineLevel="0" collapsed="false">
      <c r="A94" s="11" t="s">
        <v>217</v>
      </c>
      <c r="B94" s="11" t="s">
        <v>20</v>
      </c>
      <c r="C94" s="11" t="s">
        <v>155</v>
      </c>
      <c r="D94" s="11" t="s">
        <v>124</v>
      </c>
      <c r="E94" s="11" t="s">
        <v>112</v>
      </c>
      <c r="F94" s="11" t="s">
        <v>49</v>
      </c>
      <c r="G94" s="12" t="n">
        <v>168</v>
      </c>
      <c r="H94" s="12" t="n">
        <v>339</v>
      </c>
      <c r="I94" s="13" t="n">
        <f aca="false">IF(H94=0,"",G94/H94)</f>
        <v>0.495575221238938</v>
      </c>
      <c r="J94" s="14" t="n">
        <f aca="false">ROUND(H94*Resumen!$B$4,0)</f>
        <v>424</v>
      </c>
      <c r="K94" s="11" t="s">
        <v>9</v>
      </c>
      <c r="L94" s="14" t="n">
        <v>166</v>
      </c>
      <c r="M94" s="11" t="n">
        <v>-33.9593616</v>
      </c>
      <c r="N94" s="11" t="n">
        <v>-71.8158567</v>
      </c>
      <c r="O94" s="15" t="n">
        <v>474</v>
      </c>
      <c r="P94" s="18" t="n">
        <v>474</v>
      </c>
      <c r="Q94" s="17" t="s">
        <v>65</v>
      </c>
    </row>
    <row r="95" customFormat="false" ht="15" hidden="false" customHeight="true" outlineLevel="0" collapsed="false">
      <c r="A95" s="11" t="s">
        <v>218</v>
      </c>
      <c r="B95" s="11" t="s">
        <v>20</v>
      </c>
      <c r="C95" s="11" t="s">
        <v>155</v>
      </c>
      <c r="D95" s="11" t="s">
        <v>128</v>
      </c>
      <c r="E95" s="11" t="s">
        <v>112</v>
      </c>
      <c r="F95" s="11" t="s">
        <v>49</v>
      </c>
      <c r="G95" s="12" t="n">
        <v>191</v>
      </c>
      <c r="H95" s="12" t="n">
        <v>284</v>
      </c>
      <c r="I95" s="13" t="n">
        <f aca="false">IF(H95=0,"",G95/H95)</f>
        <v>0.672535211267606</v>
      </c>
      <c r="J95" s="14" t="n">
        <f aca="false">ROUND(H95*Resumen!$B$4,0)</f>
        <v>355</v>
      </c>
      <c r="K95" s="11" t="s">
        <v>9</v>
      </c>
      <c r="L95" s="14" t="n">
        <v>192</v>
      </c>
      <c r="M95" s="11" t="n">
        <v>-34.6920067</v>
      </c>
      <c r="N95" s="11" t="n">
        <v>-71.3345047</v>
      </c>
      <c r="O95" s="15" t="n">
        <v>358</v>
      </c>
      <c r="P95" s="18" t="n">
        <v>358</v>
      </c>
      <c r="Q95" s="17" t="s">
        <v>65</v>
      </c>
    </row>
    <row r="96" customFormat="false" ht="15" hidden="false" customHeight="true" outlineLevel="0" collapsed="false">
      <c r="A96" s="11" t="s">
        <v>219</v>
      </c>
      <c r="B96" s="11" t="s">
        <v>20</v>
      </c>
      <c r="C96" s="11" t="s">
        <v>155</v>
      </c>
      <c r="D96" s="11" t="s">
        <v>220</v>
      </c>
      <c r="E96" s="11" t="s">
        <v>112</v>
      </c>
      <c r="F96" s="11" t="s">
        <v>49</v>
      </c>
      <c r="G96" s="12" t="n">
        <v>167</v>
      </c>
      <c r="H96" s="12" t="n">
        <v>298</v>
      </c>
      <c r="I96" s="13" t="n">
        <f aca="false">IF(H96=0,"",G96/H96)</f>
        <v>0.560402684563758</v>
      </c>
      <c r="J96" s="14" t="n">
        <f aca="false">ROUND(H96*Resumen!$B$4,0)</f>
        <v>373</v>
      </c>
      <c r="K96" s="11" t="s">
        <v>9</v>
      </c>
      <c r="L96" s="14" t="n">
        <v>167</v>
      </c>
      <c r="M96" s="11" t="n">
        <v>-34.712434</v>
      </c>
      <c r="N96" s="11" t="n">
        <v>-71.0408753</v>
      </c>
      <c r="O96" s="15" t="n">
        <v>348</v>
      </c>
      <c r="P96" s="18" t="n">
        <v>348</v>
      </c>
      <c r="Q96" s="17" t="s">
        <v>65</v>
      </c>
    </row>
    <row r="97" customFormat="false" ht="15" hidden="false" customHeight="true" outlineLevel="0" collapsed="false">
      <c r="A97" s="11" t="s">
        <v>221</v>
      </c>
      <c r="B97" s="11" t="s">
        <v>20</v>
      </c>
      <c r="C97" s="11" t="s">
        <v>155</v>
      </c>
      <c r="D97" s="11" t="s">
        <v>222</v>
      </c>
      <c r="E97" s="11" t="s">
        <v>112</v>
      </c>
      <c r="F97" s="11" t="s">
        <v>49</v>
      </c>
      <c r="G97" s="12" t="n">
        <v>223</v>
      </c>
      <c r="H97" s="12" t="n">
        <v>266</v>
      </c>
      <c r="I97" s="13" t="n">
        <f aca="false">IF(H97=0,"",G97/H97)</f>
        <v>0.838345864661654</v>
      </c>
      <c r="J97" s="14" t="n">
        <f aca="false">ROUND(H97*Resumen!$B$4,0)</f>
        <v>333</v>
      </c>
      <c r="K97" s="11" t="s">
        <v>9</v>
      </c>
      <c r="L97" s="14" t="n">
        <v>223</v>
      </c>
      <c r="M97" s="11" t="n">
        <v>-34.7097652</v>
      </c>
      <c r="N97" s="11" t="n">
        <v>-71.6987909</v>
      </c>
      <c r="O97" s="15" t="n">
        <v>350</v>
      </c>
      <c r="P97" s="18" t="n">
        <v>350</v>
      </c>
      <c r="Q97" s="17" t="s">
        <v>65</v>
      </c>
    </row>
    <row r="98" customFormat="false" ht="15" hidden="false" customHeight="true" outlineLevel="0" collapsed="false">
      <c r="A98" s="11" t="s">
        <v>223</v>
      </c>
      <c r="B98" s="11" t="s">
        <v>20</v>
      </c>
      <c r="C98" s="11" t="s">
        <v>155</v>
      </c>
      <c r="D98" s="11" t="s">
        <v>224</v>
      </c>
      <c r="E98" s="11" t="s">
        <v>112</v>
      </c>
      <c r="F98" s="11" t="s">
        <v>49</v>
      </c>
      <c r="G98" s="12" t="n">
        <v>226</v>
      </c>
      <c r="H98" s="12" t="n">
        <v>273</v>
      </c>
      <c r="I98" s="13" t="n">
        <f aca="false">IF(H98=0,"",G98/H98)</f>
        <v>0.827838827838828</v>
      </c>
      <c r="J98" s="14" t="n">
        <f aca="false">ROUND(H98*Resumen!$B$4,0)</f>
        <v>341</v>
      </c>
      <c r="K98" s="11" t="s">
        <v>9</v>
      </c>
      <c r="L98" s="14" t="n">
        <v>226</v>
      </c>
      <c r="M98" s="11" t="n">
        <v>-34.6120587</v>
      </c>
      <c r="N98" s="11" t="n">
        <v>-71.7674128</v>
      </c>
      <c r="O98" s="15" t="n">
        <v>381</v>
      </c>
      <c r="P98" s="18" t="n">
        <v>381</v>
      </c>
      <c r="Q98" s="17" t="s">
        <v>65</v>
      </c>
    </row>
    <row r="99" customFormat="false" ht="15" hidden="false" customHeight="true" outlineLevel="0" collapsed="false">
      <c r="A99" s="11" t="s">
        <v>225</v>
      </c>
      <c r="B99" s="11" t="s">
        <v>21</v>
      </c>
      <c r="C99" s="11" t="s">
        <v>46</v>
      </c>
      <c r="D99" s="11" t="s">
        <v>80</v>
      </c>
      <c r="E99" s="11" t="s">
        <v>64</v>
      </c>
      <c r="F99" s="11" t="s">
        <v>49</v>
      </c>
      <c r="G99" s="12" t="n">
        <v>30</v>
      </c>
      <c r="H99" s="12" t="n">
        <v>330</v>
      </c>
      <c r="I99" s="13" t="n">
        <f aca="false">IF(H99=0,"",G99/H99)</f>
        <v>0.0909090909090909</v>
      </c>
      <c r="J99" s="14" t="n">
        <f aca="false">ROUND(H99*Resumen!$B$4,0)</f>
        <v>413</v>
      </c>
      <c r="K99" s="11" t="s">
        <v>9</v>
      </c>
      <c r="L99" s="14" t="n">
        <v>28</v>
      </c>
      <c r="M99" s="11" t="n">
        <v>-33.5465722</v>
      </c>
      <c r="N99" s="11" t="n">
        <v>-70.6667515</v>
      </c>
      <c r="O99" s="15" t="n">
        <v>419</v>
      </c>
      <c r="P99" s="18" t="n">
        <v>419</v>
      </c>
      <c r="Q99" s="17" t="s">
        <v>65</v>
      </c>
    </row>
    <row r="100" customFormat="false" ht="15" hidden="false" customHeight="true" outlineLevel="0" collapsed="false">
      <c r="A100" s="11" t="s">
        <v>226</v>
      </c>
      <c r="B100" s="11" t="s">
        <v>21</v>
      </c>
      <c r="C100" s="11" t="s">
        <v>46</v>
      </c>
      <c r="D100" s="11" t="s">
        <v>82</v>
      </c>
      <c r="E100" s="11" t="s">
        <v>64</v>
      </c>
      <c r="F100" s="11" t="s">
        <v>49</v>
      </c>
      <c r="G100" s="12" t="n">
        <v>14</v>
      </c>
      <c r="H100" s="12" t="n">
        <v>320</v>
      </c>
      <c r="I100" s="13" t="n">
        <f aca="false">IF(H100=0,"",G100/H100)</f>
        <v>0.04375</v>
      </c>
      <c r="J100" s="14" t="n">
        <f aca="false">ROUND(H100*Resumen!$B$4,0)</f>
        <v>400</v>
      </c>
      <c r="K100" s="11" t="s">
        <v>9</v>
      </c>
      <c r="L100" s="14" t="n">
        <v>15</v>
      </c>
      <c r="M100" s="11" t="n">
        <v>-33.4522248</v>
      </c>
      <c r="N100" s="11" t="n">
        <v>-70.6790511</v>
      </c>
      <c r="O100" s="15" t="n">
        <v>407</v>
      </c>
      <c r="P100" s="18" t="n">
        <v>407</v>
      </c>
      <c r="Q100" s="17" t="s">
        <v>65</v>
      </c>
    </row>
    <row r="101" customFormat="false" ht="15" hidden="false" customHeight="true" outlineLevel="0" collapsed="false">
      <c r="A101" s="11" t="s">
        <v>227</v>
      </c>
      <c r="B101" s="11" t="s">
        <v>21</v>
      </c>
      <c r="C101" s="11" t="s">
        <v>46</v>
      </c>
      <c r="D101" s="11" t="s">
        <v>228</v>
      </c>
      <c r="E101" s="11" t="s">
        <v>64</v>
      </c>
      <c r="F101" s="11" t="s">
        <v>49</v>
      </c>
      <c r="G101" s="12" t="n">
        <v>8</v>
      </c>
      <c r="H101" s="12" t="n">
        <v>312</v>
      </c>
      <c r="I101" s="13" t="n">
        <f aca="false">IF(H101=0,"",G101/H101)</f>
        <v>0.0256410256410256</v>
      </c>
      <c r="J101" s="14" t="n">
        <f aca="false">ROUND(H101*Resumen!$B$4,0)</f>
        <v>390</v>
      </c>
      <c r="K101" s="11" t="s">
        <v>9</v>
      </c>
      <c r="L101" s="14" t="n">
        <v>9</v>
      </c>
      <c r="M101" s="11" t="n">
        <v>-33.3768773</v>
      </c>
      <c r="N101" s="11" t="n">
        <v>-70.6545705</v>
      </c>
      <c r="O101" s="15" t="n">
        <v>403</v>
      </c>
      <c r="P101" s="18" t="n">
        <v>403</v>
      </c>
      <c r="Q101" s="17" t="s">
        <v>65</v>
      </c>
    </row>
    <row r="102" customFormat="false" ht="15" hidden="false" customHeight="true" outlineLevel="0" collapsed="false">
      <c r="A102" s="11" t="s">
        <v>229</v>
      </c>
      <c r="B102" s="11" t="s">
        <v>21</v>
      </c>
      <c r="C102" s="11" t="s">
        <v>46</v>
      </c>
      <c r="D102" s="11" t="s">
        <v>84</v>
      </c>
      <c r="E102" s="11" t="s">
        <v>64</v>
      </c>
      <c r="F102" s="11" t="s">
        <v>49</v>
      </c>
      <c r="G102" s="12" t="n">
        <v>12</v>
      </c>
      <c r="H102" s="12" t="n">
        <v>316</v>
      </c>
      <c r="I102" s="13" t="n">
        <f aca="false">IF(H102=0,"",G102/H102)</f>
        <v>0.0379746835443038</v>
      </c>
      <c r="J102" s="14" t="n">
        <f aca="false">ROUND(H102*Resumen!$B$4,0)</f>
        <v>395</v>
      </c>
      <c r="K102" s="11" t="s">
        <v>9</v>
      </c>
      <c r="L102" s="14" t="n">
        <v>11</v>
      </c>
      <c r="M102" s="11" t="n">
        <v>-33.4195653</v>
      </c>
      <c r="N102" s="11" t="n">
        <v>-70.6696145</v>
      </c>
      <c r="O102" s="15" t="n">
        <v>402</v>
      </c>
      <c r="P102" s="18" t="n">
        <v>402</v>
      </c>
      <c r="Q102" s="17" t="s">
        <v>65</v>
      </c>
    </row>
    <row r="103" customFormat="false" ht="15" hidden="false" customHeight="true" outlineLevel="0" collapsed="false">
      <c r="A103" s="11" t="s">
        <v>230</v>
      </c>
      <c r="B103" s="11" t="s">
        <v>21</v>
      </c>
      <c r="C103" s="11" t="s">
        <v>46</v>
      </c>
      <c r="D103" s="11" t="s">
        <v>86</v>
      </c>
      <c r="E103" s="11" t="s">
        <v>64</v>
      </c>
      <c r="F103" s="11" t="s">
        <v>49</v>
      </c>
      <c r="G103" s="12" t="n">
        <v>24</v>
      </c>
      <c r="H103" s="12" t="n">
        <v>329</v>
      </c>
      <c r="I103" s="13" t="n">
        <f aca="false">IF(H103=0,"",G103/H103)</f>
        <v>0.0729483282674772</v>
      </c>
      <c r="J103" s="14" t="n">
        <f aca="false">ROUND(H103*Resumen!$B$4,0)</f>
        <v>411</v>
      </c>
      <c r="K103" s="11" t="s">
        <v>9</v>
      </c>
      <c r="L103" s="14" t="n">
        <v>26</v>
      </c>
      <c r="M103" s="11" t="n">
        <v>-33.5373498</v>
      </c>
      <c r="N103" s="11" t="n">
        <v>-70.6643328</v>
      </c>
      <c r="O103" s="15" t="n">
        <v>418</v>
      </c>
      <c r="P103" s="18" t="n">
        <v>418</v>
      </c>
      <c r="Q103" s="17" t="s">
        <v>65</v>
      </c>
    </row>
    <row r="104" customFormat="false" ht="15" hidden="false" customHeight="true" outlineLevel="0" collapsed="false">
      <c r="A104" s="11" t="s">
        <v>231</v>
      </c>
      <c r="B104" s="11" t="s">
        <v>21</v>
      </c>
      <c r="C104" s="11" t="s">
        <v>46</v>
      </c>
      <c r="D104" s="11" t="s">
        <v>232</v>
      </c>
      <c r="E104" s="11" t="s">
        <v>64</v>
      </c>
      <c r="F104" s="11" t="s">
        <v>49</v>
      </c>
      <c r="G104" s="12" t="n">
        <v>48</v>
      </c>
      <c r="H104" s="12" t="n">
        <v>345</v>
      </c>
      <c r="I104" s="13" t="n">
        <f aca="false">IF(H104=0,"",G104/H104)</f>
        <v>0.139130434782609</v>
      </c>
      <c r="J104" s="14" t="n">
        <f aca="false">ROUND(H104*Resumen!$B$4,0)</f>
        <v>431</v>
      </c>
      <c r="K104" s="11" t="s">
        <v>9</v>
      </c>
      <c r="L104" s="14" t="n">
        <v>48</v>
      </c>
      <c r="M104" s="11" t="n">
        <v>-33.6645144</v>
      </c>
      <c r="N104" s="11" t="n">
        <v>-70.5842185</v>
      </c>
      <c r="O104" s="15" t="n">
        <v>440</v>
      </c>
      <c r="P104" s="18" t="n">
        <v>440</v>
      </c>
      <c r="Q104" s="17" t="s">
        <v>65</v>
      </c>
    </row>
    <row r="105" customFormat="false" ht="15" hidden="false" customHeight="true" outlineLevel="0" collapsed="false">
      <c r="A105" s="11" t="s">
        <v>233</v>
      </c>
      <c r="B105" s="11" t="s">
        <v>21</v>
      </c>
      <c r="C105" s="11" t="s">
        <v>46</v>
      </c>
      <c r="D105" s="11" t="s">
        <v>193</v>
      </c>
      <c r="E105" s="11" t="s">
        <v>64</v>
      </c>
      <c r="F105" s="11" t="s">
        <v>49</v>
      </c>
      <c r="G105" s="12" t="n">
        <v>67</v>
      </c>
      <c r="H105" s="12" t="n">
        <v>366</v>
      </c>
      <c r="I105" s="13" t="n">
        <f aca="false">IF(H105=0,"",G105/H105)</f>
        <v>0.183060109289618</v>
      </c>
      <c r="J105" s="14" t="n">
        <f aca="false">ROUND(H105*Resumen!$B$4,0)</f>
        <v>458</v>
      </c>
      <c r="K105" s="11" t="s">
        <v>9</v>
      </c>
      <c r="L105" s="14" t="n">
        <v>69</v>
      </c>
      <c r="M105" s="11" t="n">
        <v>-33.7435391</v>
      </c>
      <c r="N105" s="11" t="n">
        <v>-69.9890364</v>
      </c>
      <c r="O105" s="15" t="n">
        <v>513</v>
      </c>
      <c r="P105" s="18" t="n">
        <v>513</v>
      </c>
      <c r="Q105" s="17" t="s">
        <v>65</v>
      </c>
    </row>
    <row r="106" customFormat="false" ht="15" hidden="false" customHeight="true" outlineLevel="0" collapsed="false">
      <c r="A106" s="11" t="s">
        <v>234</v>
      </c>
      <c r="B106" s="11" t="s">
        <v>21</v>
      </c>
      <c r="C106" s="11" t="s">
        <v>46</v>
      </c>
      <c r="D106" s="11" t="s">
        <v>195</v>
      </c>
      <c r="E106" s="11" t="s">
        <v>64</v>
      </c>
      <c r="F106" s="11" t="s">
        <v>49</v>
      </c>
      <c r="G106" s="12" t="n">
        <v>31</v>
      </c>
      <c r="H106" s="12" t="n">
        <v>335</v>
      </c>
      <c r="I106" s="13" t="n">
        <f aca="false">IF(H106=0,"",G106/H106)</f>
        <v>0.0925373134328358</v>
      </c>
      <c r="J106" s="14" t="n">
        <f aca="false">ROUND(H106*Resumen!$B$4,0)</f>
        <v>419</v>
      </c>
      <c r="K106" s="11" t="s">
        <v>9</v>
      </c>
      <c r="L106" s="14" t="n">
        <v>31</v>
      </c>
      <c r="M106" s="11" t="n">
        <v>-33.5950002</v>
      </c>
      <c r="N106" s="11" t="n">
        <v>-70.6978424</v>
      </c>
      <c r="O106" s="15" t="n">
        <v>424</v>
      </c>
      <c r="P106" s="18" t="n">
        <v>424</v>
      </c>
      <c r="Q106" s="17" t="s">
        <v>65</v>
      </c>
    </row>
    <row r="107" customFormat="false" ht="15" hidden="false" customHeight="true" outlineLevel="0" collapsed="false">
      <c r="A107" s="11" t="s">
        <v>235</v>
      </c>
      <c r="B107" s="11" t="s">
        <v>21</v>
      </c>
      <c r="C107" s="11" t="s">
        <v>46</v>
      </c>
      <c r="D107" s="11" t="s">
        <v>96</v>
      </c>
      <c r="E107" s="11" t="s">
        <v>64</v>
      </c>
      <c r="F107" s="11" t="s">
        <v>49</v>
      </c>
      <c r="G107" s="12" t="n">
        <v>46</v>
      </c>
      <c r="H107" s="12" t="n">
        <v>350</v>
      </c>
      <c r="I107" s="13" t="n">
        <f aca="false">IF(H107=0,"",G107/H107)</f>
        <v>0.131428571428571</v>
      </c>
      <c r="J107" s="14" t="n">
        <f aca="false">ROUND(H107*Resumen!$B$4,0)</f>
        <v>438</v>
      </c>
      <c r="K107" s="11" t="s">
        <v>9</v>
      </c>
      <c r="L107" s="14" t="n">
        <v>47</v>
      </c>
      <c r="M107" s="11" t="n">
        <v>-33.7323649</v>
      </c>
      <c r="N107" s="11" t="n">
        <v>-70.7284333</v>
      </c>
      <c r="O107" s="15" t="n">
        <v>438</v>
      </c>
      <c r="P107" s="18" t="n">
        <v>438</v>
      </c>
      <c r="Q107" s="17" t="s">
        <v>65</v>
      </c>
    </row>
    <row r="108" customFormat="false" ht="15" hidden="false" customHeight="true" outlineLevel="0" collapsed="false">
      <c r="A108" s="11" t="s">
        <v>236</v>
      </c>
      <c r="B108" s="11" t="s">
        <v>21</v>
      </c>
      <c r="C108" s="11" t="s">
        <v>46</v>
      </c>
      <c r="D108" s="11" t="s">
        <v>98</v>
      </c>
      <c r="E108" s="11" t="s">
        <v>64</v>
      </c>
      <c r="F108" s="11" t="s">
        <v>49</v>
      </c>
      <c r="G108" s="12" t="n">
        <v>35</v>
      </c>
      <c r="H108" s="12" t="n">
        <v>339</v>
      </c>
      <c r="I108" s="13" t="n">
        <f aca="false">IF(H108=0,"",G108/H108)</f>
        <v>0.103244837758112</v>
      </c>
      <c r="J108" s="14" t="n">
        <f aca="false">ROUND(H108*Resumen!$B$4,0)</f>
        <v>424</v>
      </c>
      <c r="K108" s="11" t="s">
        <v>9</v>
      </c>
      <c r="L108" s="14" t="n">
        <v>37</v>
      </c>
      <c r="M108" s="11" t="n">
        <v>-33.6307372</v>
      </c>
      <c r="N108" s="11" t="n">
        <v>-70.7591428</v>
      </c>
      <c r="O108" s="15" t="n">
        <v>430</v>
      </c>
      <c r="P108" s="18" t="n">
        <v>430</v>
      </c>
      <c r="Q108" s="17" t="s">
        <v>65</v>
      </c>
    </row>
    <row r="109" customFormat="false" ht="15" hidden="false" customHeight="true" outlineLevel="0" collapsed="false">
      <c r="A109" s="11" t="s">
        <v>237</v>
      </c>
      <c r="B109" s="11" t="s">
        <v>21</v>
      </c>
      <c r="C109" s="11" t="s">
        <v>46</v>
      </c>
      <c r="D109" s="11" t="s">
        <v>198</v>
      </c>
      <c r="E109" s="11" t="s">
        <v>64</v>
      </c>
      <c r="F109" s="11" t="s">
        <v>49</v>
      </c>
      <c r="G109" s="12" t="n">
        <v>58</v>
      </c>
      <c r="H109" s="12" t="n">
        <v>359</v>
      </c>
      <c r="I109" s="13" t="n">
        <f aca="false">IF(H109=0,"",G109/H109)</f>
        <v>0.161559888579387</v>
      </c>
      <c r="J109" s="14" t="n">
        <f aca="false">ROUND(H109*Resumen!$B$4,0)</f>
        <v>449</v>
      </c>
      <c r="K109" s="11" t="s">
        <v>9</v>
      </c>
      <c r="L109" s="14" t="n">
        <v>58</v>
      </c>
      <c r="M109" s="11" t="n">
        <v>-33.8160671</v>
      </c>
      <c r="N109" s="11" t="n">
        <v>-70.7436049</v>
      </c>
      <c r="O109" s="15" t="n">
        <v>449</v>
      </c>
      <c r="P109" s="18" t="n">
        <v>449</v>
      </c>
      <c r="Q109" s="17" t="s">
        <v>65</v>
      </c>
    </row>
    <row r="110" customFormat="false" ht="15" hidden="false" customHeight="true" outlineLevel="0" collapsed="false">
      <c r="A110" s="11" t="s">
        <v>238</v>
      </c>
      <c r="B110" s="11" t="s">
        <v>21</v>
      </c>
      <c r="C110" s="11" t="s">
        <v>46</v>
      </c>
      <c r="D110" s="11" t="s">
        <v>100</v>
      </c>
      <c r="E110" s="11" t="s">
        <v>64</v>
      </c>
      <c r="F110" s="11" t="s">
        <v>49</v>
      </c>
      <c r="G110" s="12" t="n">
        <v>82</v>
      </c>
      <c r="H110" s="12" t="n">
        <v>342</v>
      </c>
      <c r="I110" s="13" t="n">
        <f aca="false">IF(H110=0,"",G110/H110)</f>
        <v>0.239766081871345</v>
      </c>
      <c r="J110" s="14" t="n">
        <f aca="false">ROUND(H110*Resumen!$B$4,0)</f>
        <v>428</v>
      </c>
      <c r="K110" s="11" t="s">
        <v>9</v>
      </c>
      <c r="L110" s="14" t="n">
        <v>82</v>
      </c>
      <c r="M110" s="11" t="n">
        <v>-33.6796771</v>
      </c>
      <c r="N110" s="11" t="n">
        <v>-71.2109877</v>
      </c>
      <c r="O110" s="15" t="n">
        <v>472</v>
      </c>
      <c r="P110" s="18" t="n">
        <v>472</v>
      </c>
      <c r="Q110" s="17" t="s">
        <v>65</v>
      </c>
    </row>
    <row r="111" customFormat="false" ht="15" hidden="false" customHeight="true" outlineLevel="0" collapsed="false">
      <c r="A111" s="11" t="s">
        <v>239</v>
      </c>
      <c r="B111" s="11" t="s">
        <v>21</v>
      </c>
      <c r="C111" s="11" t="s">
        <v>46</v>
      </c>
      <c r="D111" s="11" t="s">
        <v>152</v>
      </c>
      <c r="E111" s="11" t="s">
        <v>64</v>
      </c>
      <c r="F111" s="11" t="s">
        <v>49</v>
      </c>
      <c r="G111" s="12" t="n">
        <v>149</v>
      </c>
      <c r="H111" s="12" t="n">
        <v>383</v>
      </c>
      <c r="I111" s="13" t="n">
        <f aca="false">IF(H111=0,"",G111/H111)</f>
        <v>0.389033942558747</v>
      </c>
      <c r="J111" s="14" t="n">
        <f aca="false">ROUND(H111*Resumen!$B$4,0)</f>
        <v>479</v>
      </c>
      <c r="K111" s="11" t="s">
        <v>9</v>
      </c>
      <c r="L111" s="14" t="n">
        <v>147</v>
      </c>
      <c r="M111" s="11" t="n">
        <v>-34.0548405</v>
      </c>
      <c r="N111" s="11" t="n">
        <v>-71.2188305</v>
      </c>
      <c r="O111" s="15" t="n">
        <v>505</v>
      </c>
      <c r="P111" s="18" t="n">
        <v>505</v>
      </c>
      <c r="Q111" s="17" t="s">
        <v>65</v>
      </c>
    </row>
    <row r="112" customFormat="false" ht="15" hidden="false" customHeight="true" outlineLevel="0" collapsed="false">
      <c r="A112" s="11" t="s">
        <v>240</v>
      </c>
      <c r="B112" s="11" t="s">
        <v>21</v>
      </c>
      <c r="C112" s="11" t="s">
        <v>46</v>
      </c>
      <c r="D112" s="11" t="s">
        <v>102</v>
      </c>
      <c r="E112" s="11" t="s">
        <v>64</v>
      </c>
      <c r="F112" s="11" t="s">
        <v>49</v>
      </c>
      <c r="G112" s="12" t="n">
        <v>57</v>
      </c>
      <c r="H112" s="12" t="n">
        <v>310</v>
      </c>
      <c r="I112" s="13" t="n">
        <f aca="false">IF(H112=0,"",G112/H112)</f>
        <v>0.183870967741935</v>
      </c>
      <c r="J112" s="14" t="n">
        <f aca="false">ROUND(H112*Resumen!$B$4,0)</f>
        <v>388</v>
      </c>
      <c r="K112" s="11" t="s">
        <v>9</v>
      </c>
      <c r="L112" s="14" t="n">
        <v>57</v>
      </c>
      <c r="M112" s="11" t="n">
        <v>-33.3946803</v>
      </c>
      <c r="N112" s="11" t="n">
        <v>-71.1691385</v>
      </c>
      <c r="O112" s="15" t="n">
        <v>403</v>
      </c>
      <c r="P112" s="18" t="n">
        <v>403</v>
      </c>
      <c r="Q112" s="17" t="s">
        <v>65</v>
      </c>
    </row>
    <row r="113" customFormat="false" ht="15" hidden="false" customHeight="true" outlineLevel="0" collapsed="false">
      <c r="A113" s="11" t="s">
        <v>241</v>
      </c>
      <c r="B113" s="11" t="s">
        <v>22</v>
      </c>
      <c r="C113" s="11" t="s">
        <v>54</v>
      </c>
      <c r="D113" s="11" t="s">
        <v>84</v>
      </c>
      <c r="E113" s="11" t="s">
        <v>64</v>
      </c>
      <c r="F113" s="11" t="s">
        <v>49</v>
      </c>
      <c r="G113" s="12" t="n">
        <v>12</v>
      </c>
      <c r="H113" s="12" t="n">
        <v>86</v>
      </c>
      <c r="I113" s="13" t="n">
        <f aca="false">IF(H113=0,"",G113/H113)</f>
        <v>0.13953488372093</v>
      </c>
      <c r="J113" s="14" t="n">
        <f aca="false">ROUND(H113*Resumen!$B$4,0)</f>
        <v>108</v>
      </c>
      <c r="K113" s="11" t="s">
        <v>9</v>
      </c>
      <c r="L113" s="14" t="n">
        <v>11</v>
      </c>
      <c r="M113" s="11" t="n">
        <v>-33.4195653</v>
      </c>
      <c r="N113" s="11" t="n">
        <v>-70.6696145</v>
      </c>
      <c r="O113" s="15" t="n">
        <v>109</v>
      </c>
      <c r="P113" s="18" t="n">
        <v>109</v>
      </c>
      <c r="Q113" s="17" t="s">
        <v>65</v>
      </c>
    </row>
    <row r="114" customFormat="false" ht="15" hidden="false" customHeight="true" outlineLevel="0" collapsed="false">
      <c r="A114" s="11" t="s">
        <v>242</v>
      </c>
      <c r="B114" s="11" t="s">
        <v>22</v>
      </c>
      <c r="C114" s="11" t="s">
        <v>54</v>
      </c>
      <c r="D114" s="11" t="s">
        <v>86</v>
      </c>
      <c r="E114" s="11" t="s">
        <v>64</v>
      </c>
      <c r="F114" s="11" t="s">
        <v>49</v>
      </c>
      <c r="G114" s="12" t="n">
        <v>24</v>
      </c>
      <c r="H114" s="12" t="n">
        <v>97</v>
      </c>
      <c r="I114" s="13" t="n">
        <f aca="false">IF(H114=0,"",G114/H114)</f>
        <v>0.247422680412371</v>
      </c>
      <c r="J114" s="14" t="n">
        <f aca="false">ROUND(H114*Resumen!$B$4,0)</f>
        <v>121</v>
      </c>
      <c r="K114" s="11" t="s">
        <v>9</v>
      </c>
      <c r="L114" s="14" t="n">
        <v>26</v>
      </c>
      <c r="M114" s="11" t="n">
        <v>-33.5373498</v>
      </c>
      <c r="N114" s="11" t="n">
        <v>-70.6643328</v>
      </c>
      <c r="O114" s="15" t="n">
        <v>124</v>
      </c>
      <c r="P114" s="18" t="n">
        <v>124</v>
      </c>
      <c r="Q114" s="17" t="s">
        <v>65</v>
      </c>
    </row>
    <row r="115" customFormat="false" ht="15" hidden="false" customHeight="true" outlineLevel="0" collapsed="false">
      <c r="A115" s="11" t="s">
        <v>243</v>
      </c>
      <c r="B115" s="11" t="s">
        <v>22</v>
      </c>
      <c r="C115" s="11" t="s">
        <v>54</v>
      </c>
      <c r="D115" s="11" t="s">
        <v>94</v>
      </c>
      <c r="E115" s="11" t="s">
        <v>64</v>
      </c>
      <c r="F115" s="11" t="s">
        <v>49</v>
      </c>
      <c r="G115" s="12" t="n">
        <v>26</v>
      </c>
      <c r="H115" s="12" t="n">
        <v>90</v>
      </c>
      <c r="I115" s="13" t="n">
        <f aca="false">IF(H115=0,"",G115/H115)</f>
        <v>0.288888888888889</v>
      </c>
      <c r="J115" s="14" t="n">
        <f aca="false">ROUND(H115*Resumen!$B$4,0)</f>
        <v>113</v>
      </c>
      <c r="K115" s="11" t="s">
        <v>9</v>
      </c>
      <c r="L115" s="14" t="n">
        <v>26</v>
      </c>
      <c r="M115" s="11" t="n">
        <v>-33.5099332</v>
      </c>
      <c r="N115" s="11" t="n">
        <v>-70.7573092</v>
      </c>
      <c r="O115" s="15" t="n">
        <v>125</v>
      </c>
      <c r="P115" s="18" t="n">
        <v>125</v>
      </c>
      <c r="Q115" s="17" t="s">
        <v>65</v>
      </c>
    </row>
    <row r="116" customFormat="false" ht="15" hidden="false" customHeight="true" outlineLevel="0" collapsed="false">
      <c r="A116" s="11" t="s">
        <v>244</v>
      </c>
      <c r="B116" s="11" t="s">
        <v>22</v>
      </c>
      <c r="C116" s="11" t="s">
        <v>54</v>
      </c>
      <c r="D116" s="11" t="s">
        <v>142</v>
      </c>
      <c r="E116" s="11" t="s">
        <v>64</v>
      </c>
      <c r="F116" s="11" t="s">
        <v>49</v>
      </c>
      <c r="G116" s="12" t="n">
        <v>20</v>
      </c>
      <c r="H116" s="12" t="n">
        <v>92</v>
      </c>
      <c r="I116" s="13" t="n">
        <f aca="false">IF(H116=0,"",G116/H116)</f>
        <v>0.217391304347826</v>
      </c>
      <c r="J116" s="14" t="n">
        <f aca="false">ROUND(H116*Resumen!$B$4,0)</f>
        <v>115</v>
      </c>
      <c r="K116" s="11" t="s">
        <v>9</v>
      </c>
      <c r="L116" s="14" t="n">
        <v>20</v>
      </c>
      <c r="M116" s="11" t="n">
        <v>-33.4927335</v>
      </c>
      <c r="N116" s="11" t="n">
        <v>-70.6818026</v>
      </c>
      <c r="O116" s="15" t="n">
        <v>117</v>
      </c>
      <c r="P116" s="18" t="n">
        <v>117</v>
      </c>
      <c r="Q116" s="17" t="s">
        <v>65</v>
      </c>
    </row>
    <row r="117" customFormat="false" ht="15" hidden="false" customHeight="true" outlineLevel="0" collapsed="false">
      <c r="A117" s="11" t="s">
        <v>245</v>
      </c>
      <c r="B117" s="11" t="s">
        <v>22</v>
      </c>
      <c r="C117" s="11" t="s">
        <v>54</v>
      </c>
      <c r="D117" s="11" t="s">
        <v>144</v>
      </c>
      <c r="E117" s="11" t="s">
        <v>64</v>
      </c>
      <c r="F117" s="11" t="s">
        <v>49</v>
      </c>
      <c r="G117" s="12" t="n">
        <v>14</v>
      </c>
      <c r="H117" s="12" t="n">
        <v>90</v>
      </c>
      <c r="I117" s="13" t="n">
        <f aca="false">IF(H117=0,"",G117/H117)</f>
        <v>0.155555555555556</v>
      </c>
      <c r="J117" s="14" t="n">
        <f aca="false">ROUND(H117*Resumen!$B$4,0)</f>
        <v>113</v>
      </c>
      <c r="K117" s="11" t="s">
        <v>9</v>
      </c>
      <c r="L117" s="14" t="n">
        <v>14</v>
      </c>
      <c r="M117" s="11" t="n">
        <v>-33.4321835</v>
      </c>
      <c r="N117" s="11" t="n">
        <v>-70.6095284</v>
      </c>
      <c r="O117" s="15" t="n">
        <v>116</v>
      </c>
      <c r="P117" s="18" t="n">
        <v>116</v>
      </c>
      <c r="Q117" s="17" t="s">
        <v>65</v>
      </c>
    </row>
    <row r="118" customFormat="false" ht="15" hidden="false" customHeight="true" outlineLevel="0" collapsed="false">
      <c r="A118" s="11" t="s">
        <v>246</v>
      </c>
      <c r="B118" s="11" t="s">
        <v>22</v>
      </c>
      <c r="C118" s="11" t="s">
        <v>54</v>
      </c>
      <c r="D118" s="11" t="s">
        <v>146</v>
      </c>
      <c r="E118" s="11" t="s">
        <v>64</v>
      </c>
      <c r="F118" s="11" t="s">
        <v>49</v>
      </c>
      <c r="G118" s="12" t="n">
        <v>17</v>
      </c>
      <c r="H118" s="12" t="n">
        <v>83</v>
      </c>
      <c r="I118" s="13" t="n">
        <f aca="false">IF(H118=0,"",G118/H118)</f>
        <v>0.204819277108434</v>
      </c>
      <c r="J118" s="14" t="n">
        <f aca="false">ROUND(H118*Resumen!$B$4,0)</f>
        <v>104</v>
      </c>
      <c r="K118" s="11" t="s">
        <v>9</v>
      </c>
      <c r="L118" s="14" t="n">
        <v>16</v>
      </c>
      <c r="M118" s="11" t="n">
        <v>-33.4368017</v>
      </c>
      <c r="N118" s="11" t="n">
        <v>-70.7517915</v>
      </c>
      <c r="O118" s="15" t="n">
        <v>114</v>
      </c>
      <c r="P118" s="18" t="n">
        <v>114</v>
      </c>
      <c r="Q118" s="17" t="s">
        <v>65</v>
      </c>
    </row>
    <row r="119" customFormat="false" ht="15" hidden="false" customHeight="true" outlineLevel="0" collapsed="false">
      <c r="A119" s="11" t="s">
        <v>247</v>
      </c>
      <c r="B119" s="11" t="s">
        <v>22</v>
      </c>
      <c r="C119" s="11" t="s">
        <v>54</v>
      </c>
      <c r="D119" s="11" t="s">
        <v>148</v>
      </c>
      <c r="E119" s="11" t="s">
        <v>64</v>
      </c>
      <c r="F119" s="11" t="s">
        <v>49</v>
      </c>
      <c r="G119" s="12" t="n">
        <v>6</v>
      </c>
      <c r="H119" s="12" t="n">
        <v>78</v>
      </c>
      <c r="I119" s="13" t="n">
        <f aca="false">IF(H119=0,"",G119/H119)</f>
        <v>0.0769230769230769</v>
      </c>
      <c r="J119" s="14" t="n">
        <f aca="false">ROUND(H119*Resumen!$B$4,0)</f>
        <v>98</v>
      </c>
      <c r="K119" s="11" t="s">
        <v>9</v>
      </c>
      <c r="L119" s="14" t="n">
        <v>5</v>
      </c>
      <c r="M119" s="11" t="n">
        <v>-33.3600426</v>
      </c>
      <c r="N119" s="11" t="n">
        <v>-70.7118564</v>
      </c>
      <c r="O119" s="15" t="n">
        <v>103</v>
      </c>
      <c r="P119" s="18" t="n">
        <v>103</v>
      </c>
      <c r="Q119" s="17" t="s">
        <v>65</v>
      </c>
    </row>
    <row r="120" customFormat="false" ht="15" hidden="false" customHeight="true" outlineLevel="0" collapsed="false">
      <c r="A120" s="11" t="s">
        <v>248</v>
      </c>
      <c r="B120" s="11" t="s">
        <v>22</v>
      </c>
      <c r="C120" s="11" t="s">
        <v>54</v>
      </c>
      <c r="D120" s="11" t="s">
        <v>210</v>
      </c>
      <c r="E120" s="11" t="s">
        <v>112</v>
      </c>
      <c r="F120" s="11" t="s">
        <v>49</v>
      </c>
      <c r="G120" s="12" t="n">
        <v>78</v>
      </c>
      <c r="H120" s="12" t="n">
        <v>140</v>
      </c>
      <c r="I120" s="13" t="n">
        <f aca="false">IF(H120=0,"",G120/H120)</f>
        <v>0.557142857142857</v>
      </c>
      <c r="J120" s="14" t="n">
        <f aca="false">ROUND(H120*Resumen!$B$4,0)</f>
        <v>175</v>
      </c>
      <c r="K120" s="11" t="s">
        <v>9</v>
      </c>
      <c r="L120" s="14" t="n">
        <v>76</v>
      </c>
      <c r="M120" s="11" t="n">
        <v>-33.9799035</v>
      </c>
      <c r="N120" s="11" t="n">
        <v>-70.7121737</v>
      </c>
      <c r="O120" s="15" t="n">
        <v>175</v>
      </c>
      <c r="P120" s="18" t="n">
        <v>175</v>
      </c>
      <c r="Q120" s="17" t="s">
        <v>65</v>
      </c>
    </row>
    <row r="121" customFormat="false" ht="15" hidden="false" customHeight="true" outlineLevel="0" collapsed="false">
      <c r="A121" s="11" t="s">
        <v>249</v>
      </c>
      <c r="B121" s="11" t="s">
        <v>23</v>
      </c>
      <c r="C121" s="11" t="s">
        <v>58</v>
      </c>
      <c r="D121" s="11" t="s">
        <v>176</v>
      </c>
      <c r="E121" s="11" t="s">
        <v>64</v>
      </c>
      <c r="F121" s="11" t="s">
        <v>49</v>
      </c>
      <c r="G121" s="12" t="n">
        <v>22</v>
      </c>
      <c r="H121" s="12" t="n">
        <v>915</v>
      </c>
      <c r="I121" s="13" t="n">
        <f aca="false">IF(H121=0,"",G121/H121)</f>
        <v>0.0240437158469945</v>
      </c>
      <c r="J121" s="14" t="n">
        <f aca="false">ROUND(H121*Resumen!$B$4,0)</f>
        <v>1144</v>
      </c>
      <c r="K121" s="11" t="s">
        <v>9</v>
      </c>
      <c r="L121" s="14" t="n">
        <v>22</v>
      </c>
      <c r="M121" s="11" t="n">
        <v>-33.4834342</v>
      </c>
      <c r="N121" s="11" t="n">
        <v>-70.6955562</v>
      </c>
      <c r="O121" s="15" t="n">
        <v>1034</v>
      </c>
      <c r="P121" s="18" t="n">
        <v>1034</v>
      </c>
      <c r="Q121" s="17" t="s">
        <v>65</v>
      </c>
    </row>
    <row r="122" customFormat="false" ht="15" hidden="false" customHeight="true" outlineLevel="0" collapsed="false">
      <c r="A122" s="11" t="s">
        <v>250</v>
      </c>
      <c r="B122" s="11" t="s">
        <v>23</v>
      </c>
      <c r="C122" s="11" t="s">
        <v>58</v>
      </c>
      <c r="D122" s="11" t="s">
        <v>94</v>
      </c>
      <c r="E122" s="11" t="s">
        <v>64</v>
      </c>
      <c r="F122" s="11" t="s">
        <v>49</v>
      </c>
      <c r="G122" s="12" t="n">
        <v>26</v>
      </c>
      <c r="H122" s="12" t="n">
        <v>910</v>
      </c>
      <c r="I122" s="13" t="n">
        <f aca="false">IF(H122=0,"",G122/H122)</f>
        <v>0.0285714285714286</v>
      </c>
      <c r="J122" s="14" t="n">
        <f aca="false">ROUND(H122*Resumen!$B$4,0)</f>
        <v>1138</v>
      </c>
      <c r="K122" s="11" t="s">
        <v>9</v>
      </c>
      <c r="L122" s="14" t="n">
        <v>26</v>
      </c>
      <c r="M122" s="11" t="n">
        <v>-33.5099332</v>
      </c>
      <c r="N122" s="11" t="n">
        <v>-70.7573092</v>
      </c>
      <c r="O122" s="15" t="n">
        <v>1034</v>
      </c>
      <c r="P122" s="18" t="n">
        <v>1034</v>
      </c>
      <c r="Q122" s="17" t="s">
        <v>65</v>
      </c>
    </row>
    <row r="123" customFormat="false" ht="15" hidden="false" customHeight="true" outlineLevel="0" collapsed="false">
      <c r="A123" s="11" t="s">
        <v>251</v>
      </c>
      <c r="B123" s="11" t="s">
        <v>23</v>
      </c>
      <c r="C123" s="11" t="s">
        <v>58</v>
      </c>
      <c r="D123" s="11" t="s">
        <v>252</v>
      </c>
      <c r="E123" s="11" t="s">
        <v>64</v>
      </c>
      <c r="F123" s="11" t="s">
        <v>49</v>
      </c>
      <c r="G123" s="12" t="n">
        <v>18</v>
      </c>
      <c r="H123" s="12" t="n">
        <v>940</v>
      </c>
      <c r="I123" s="13" t="n">
        <f aca="false">IF(H123=0,"",G123/H123)</f>
        <v>0.0191489361702128</v>
      </c>
      <c r="J123" s="14" t="n">
        <f aca="false">ROUND(H123*Resumen!$B$4,0)</f>
        <v>1175</v>
      </c>
      <c r="K123" s="11" t="s">
        <v>9</v>
      </c>
      <c r="L123" s="14" t="n">
        <v>19</v>
      </c>
      <c r="M123" s="11" t="n">
        <v>-33.2476359</v>
      </c>
      <c r="N123" s="11" t="n">
        <v>-70.7146007</v>
      </c>
      <c r="O123" s="15" t="n">
        <v>1061</v>
      </c>
      <c r="P123" s="18" t="n">
        <v>1061</v>
      </c>
      <c r="Q123" s="17" t="s">
        <v>65</v>
      </c>
    </row>
    <row r="124" customFormat="false" ht="15" hidden="false" customHeight="true" outlineLevel="0" collapsed="false">
      <c r="A124" s="11" t="s">
        <v>253</v>
      </c>
      <c r="B124" s="11" t="s">
        <v>24</v>
      </c>
      <c r="C124" s="11" t="s">
        <v>62</v>
      </c>
      <c r="D124" s="11" t="s">
        <v>254</v>
      </c>
      <c r="E124" s="11" t="s">
        <v>48</v>
      </c>
      <c r="F124" s="11" t="s">
        <v>49</v>
      </c>
      <c r="G124" s="12" t="n">
        <v>63</v>
      </c>
      <c r="H124" s="12" t="n">
        <v>150</v>
      </c>
      <c r="I124" s="13" t="n">
        <f aca="false">IF(H124=0,"",G124/H124)</f>
        <v>0.42</v>
      </c>
      <c r="J124" s="14" t="n">
        <f aca="false">ROUND(H124*Resumen!$B$4,0)</f>
        <v>188</v>
      </c>
      <c r="K124" s="11" t="s">
        <v>9</v>
      </c>
      <c r="L124" s="14" t="n">
        <v>63</v>
      </c>
      <c r="M124" s="11" t="n">
        <v>-32.8474894</v>
      </c>
      <c r="N124" s="11" t="n">
        <v>-70.6173699</v>
      </c>
      <c r="O124" s="15" t="n">
        <v>161</v>
      </c>
      <c r="P124" s="18" t="n">
        <v>161</v>
      </c>
      <c r="Q124" s="17" t="s">
        <v>65</v>
      </c>
    </row>
    <row r="125" customFormat="false" ht="15" hidden="false" customHeight="true" outlineLevel="0" collapsed="false">
      <c r="A125" s="11" t="s">
        <v>255</v>
      </c>
      <c r="B125" s="11" t="s">
        <v>24</v>
      </c>
      <c r="C125" s="11" t="s">
        <v>62</v>
      </c>
      <c r="D125" s="11" t="s">
        <v>174</v>
      </c>
      <c r="E125" s="11" t="s">
        <v>48</v>
      </c>
      <c r="F125" s="11" t="s">
        <v>49</v>
      </c>
      <c r="G125" s="12" t="n">
        <v>79</v>
      </c>
      <c r="H125" s="12" t="n">
        <v>151</v>
      </c>
      <c r="I125" s="13" t="n">
        <f aca="false">IF(H125=0,"",G125/H125)</f>
        <v>0.52317880794702</v>
      </c>
      <c r="J125" s="14" t="n">
        <f aca="false">ROUND(H125*Resumen!$B$4,0)</f>
        <v>189</v>
      </c>
      <c r="K125" s="11" t="s">
        <v>9</v>
      </c>
      <c r="L125" s="14" t="n">
        <v>79</v>
      </c>
      <c r="M125" s="11" t="n">
        <v>-32.8417601</v>
      </c>
      <c r="N125" s="11" t="n">
        <v>-70.9704915</v>
      </c>
      <c r="O125" s="15" t="n">
        <v>173</v>
      </c>
      <c r="P125" s="18" t="n">
        <v>173</v>
      </c>
      <c r="Q125" s="17" t="s">
        <v>65</v>
      </c>
    </row>
    <row r="126" customFormat="false" ht="15" hidden="false" customHeight="true" outlineLevel="0" collapsed="false">
      <c r="A126" s="11" t="s">
        <v>256</v>
      </c>
      <c r="B126" s="11" t="s">
        <v>24</v>
      </c>
      <c r="C126" s="11" t="s">
        <v>62</v>
      </c>
      <c r="D126" s="11" t="s">
        <v>257</v>
      </c>
      <c r="E126" s="11" t="s">
        <v>64</v>
      </c>
      <c r="F126" s="11" t="s">
        <v>49</v>
      </c>
      <c r="G126" s="12" t="n">
        <v>9</v>
      </c>
      <c r="H126" s="12" t="n">
        <v>88</v>
      </c>
      <c r="I126" s="13" t="n">
        <f aca="false">IF(H126=0,"",G126/H126)</f>
        <v>0.102272727272727</v>
      </c>
      <c r="J126" s="14" t="n">
        <f aca="false">ROUND(H126*Resumen!$B$4,0)</f>
        <v>110</v>
      </c>
      <c r="K126" s="11" t="s">
        <v>9</v>
      </c>
      <c r="L126" s="14" t="n">
        <v>9</v>
      </c>
      <c r="M126" s="11" t="n">
        <v>-33.4016286</v>
      </c>
      <c r="N126" s="11" t="n">
        <v>-70.6432676</v>
      </c>
      <c r="O126" s="15" t="n">
        <v>94</v>
      </c>
      <c r="P126" s="18" t="n">
        <v>94</v>
      </c>
      <c r="Q126" s="17" t="s">
        <v>65</v>
      </c>
    </row>
    <row r="127" customFormat="false" ht="15" hidden="false" customHeight="true" outlineLevel="0" collapsed="false">
      <c r="A127" s="11" t="s">
        <v>258</v>
      </c>
      <c r="B127" s="11" t="s">
        <v>24</v>
      </c>
      <c r="C127" s="11" t="s">
        <v>62</v>
      </c>
      <c r="D127" s="11" t="s">
        <v>259</v>
      </c>
      <c r="E127" s="11" t="s">
        <v>64</v>
      </c>
      <c r="F127" s="11" t="s">
        <v>49</v>
      </c>
      <c r="G127" s="12" t="n">
        <v>11</v>
      </c>
      <c r="H127" s="12" t="n">
        <v>87</v>
      </c>
      <c r="I127" s="13" t="n">
        <f aca="false">IF(H127=0,"",G127/H127)</f>
        <v>0.126436781609195</v>
      </c>
      <c r="J127" s="14" t="n">
        <f aca="false">ROUND(H127*Resumen!$B$4,0)</f>
        <v>109</v>
      </c>
      <c r="K127" s="11" t="s">
        <v>9</v>
      </c>
      <c r="L127" s="14" t="n">
        <v>11</v>
      </c>
      <c r="M127" s="11" t="n">
        <v>-33.4038207</v>
      </c>
      <c r="N127" s="11" t="n">
        <v>-70.709095</v>
      </c>
      <c r="O127" s="15" t="n">
        <v>92</v>
      </c>
      <c r="P127" s="18" t="n">
        <v>92</v>
      </c>
      <c r="Q127" s="17" t="s">
        <v>65</v>
      </c>
    </row>
    <row r="128" customFormat="false" ht="15" hidden="false" customHeight="true" outlineLevel="0" collapsed="false">
      <c r="A128" s="11" t="s">
        <v>260</v>
      </c>
      <c r="B128" s="11" t="s">
        <v>24</v>
      </c>
      <c r="C128" s="11" t="s">
        <v>62</v>
      </c>
      <c r="D128" s="11" t="s">
        <v>187</v>
      </c>
      <c r="E128" s="11" t="s">
        <v>64</v>
      </c>
      <c r="F128" s="11" t="s">
        <v>49</v>
      </c>
      <c r="G128" s="12" t="n">
        <v>16</v>
      </c>
      <c r="H128" s="12" t="n">
        <v>91</v>
      </c>
      <c r="I128" s="13" t="n">
        <f aca="false">IF(H128=0,"",G128/H128)</f>
        <v>0.175824175824176</v>
      </c>
      <c r="J128" s="14" t="n">
        <f aca="false">ROUND(H128*Resumen!$B$4,0)</f>
        <v>114</v>
      </c>
      <c r="K128" s="11" t="s">
        <v>9</v>
      </c>
      <c r="L128" s="14" t="n">
        <v>18</v>
      </c>
      <c r="M128" s="11" t="n">
        <v>-33.3831905</v>
      </c>
      <c r="N128" s="11" t="n">
        <v>-70.5491326</v>
      </c>
      <c r="O128" s="15" t="n">
        <v>103</v>
      </c>
      <c r="P128" s="18" t="n">
        <v>103</v>
      </c>
      <c r="Q128" s="17" t="s">
        <v>65</v>
      </c>
    </row>
    <row r="129" customFormat="false" ht="15" hidden="false" customHeight="true" outlineLevel="0" collapsed="false">
      <c r="A129" s="11" t="s">
        <v>261</v>
      </c>
      <c r="B129" s="11" t="s">
        <v>24</v>
      </c>
      <c r="C129" s="11" t="s">
        <v>62</v>
      </c>
      <c r="D129" s="11" t="s">
        <v>105</v>
      </c>
      <c r="E129" s="11" t="s">
        <v>64</v>
      </c>
      <c r="F129" s="11" t="s">
        <v>49</v>
      </c>
      <c r="G129" s="12" t="n">
        <v>54</v>
      </c>
      <c r="H129" s="12" t="n">
        <v>61</v>
      </c>
      <c r="I129" s="13" t="n">
        <f aca="false">IF(H129=0,"",G129/H129)</f>
        <v>0.885245901639344</v>
      </c>
      <c r="J129" s="14" t="n">
        <f aca="false">ROUND(H129*Resumen!$B$4,0)</f>
        <v>76</v>
      </c>
      <c r="K129" s="11" t="s">
        <v>9</v>
      </c>
      <c r="L129" s="14" t="n">
        <v>54</v>
      </c>
      <c r="M129" s="11" t="n">
        <v>-33.6592519</v>
      </c>
      <c r="N129" s="11" t="n">
        <v>-70.9272695</v>
      </c>
      <c r="O129" s="15" t="n">
        <v>73</v>
      </c>
      <c r="P129" s="18" t="n">
        <v>73</v>
      </c>
      <c r="Q129" s="17" t="s">
        <v>65</v>
      </c>
    </row>
    <row r="130" customFormat="false" ht="15" hidden="false" customHeight="true" outlineLevel="0" collapsed="false">
      <c r="A130" s="11" t="s">
        <v>262</v>
      </c>
      <c r="B130" s="11" t="s">
        <v>25</v>
      </c>
      <c r="C130" s="11" t="s">
        <v>263</v>
      </c>
      <c r="D130" s="11" t="s">
        <v>189</v>
      </c>
      <c r="E130" s="11" t="s">
        <v>64</v>
      </c>
      <c r="F130" s="11" t="s">
        <v>55</v>
      </c>
      <c r="G130" s="12" t="n">
        <v>51</v>
      </c>
      <c r="H130" s="12" t="n">
        <v>60</v>
      </c>
      <c r="I130" s="13" t="n">
        <f aca="false">IF(H130=0,"",G130/H130)</f>
        <v>0.85</v>
      </c>
      <c r="J130" s="14" t="n">
        <f aca="false">ROUND(H130*Resumen!$B$4,0)</f>
        <v>75</v>
      </c>
      <c r="K130" s="11" t="s">
        <v>9</v>
      </c>
      <c r="L130" s="14" t="n">
        <v>52</v>
      </c>
      <c r="M130" s="11" t="n">
        <v>-33.0863887</v>
      </c>
      <c r="N130" s="11" t="n">
        <v>-70.9282252</v>
      </c>
      <c r="O130" s="15" t="n">
        <v>78</v>
      </c>
      <c r="P130" s="18" t="n">
        <v>78</v>
      </c>
      <c r="Q130" s="17" t="s">
        <v>65</v>
      </c>
    </row>
    <row r="131" customFormat="false" ht="15" hidden="false" customHeight="true" outlineLevel="0" collapsed="false">
      <c r="A131" s="11" t="s">
        <v>264</v>
      </c>
      <c r="B131" s="11" t="s">
        <v>25</v>
      </c>
      <c r="C131" s="11" t="s">
        <v>263</v>
      </c>
      <c r="D131" s="11" t="s">
        <v>254</v>
      </c>
      <c r="E131" s="11" t="s">
        <v>48</v>
      </c>
      <c r="F131" s="11" t="s">
        <v>49</v>
      </c>
      <c r="G131" s="12" t="n">
        <v>63</v>
      </c>
      <c r="H131" s="12" t="n">
        <v>83</v>
      </c>
      <c r="I131" s="13" t="n">
        <f aca="false">IF(H131=0,"",G131/H131)</f>
        <v>0.759036144578313</v>
      </c>
      <c r="J131" s="14" t="n">
        <f aca="false">ROUND(H131*Resumen!$B$4,0)</f>
        <v>104</v>
      </c>
      <c r="K131" s="11" t="s">
        <v>9</v>
      </c>
      <c r="L131" s="14" t="n">
        <v>63</v>
      </c>
      <c r="M131" s="11" t="n">
        <v>-32.8474894</v>
      </c>
      <c r="N131" s="11" t="n">
        <v>-70.6173699</v>
      </c>
      <c r="O131" s="15" t="n">
        <v>93</v>
      </c>
      <c r="P131" s="18" t="n">
        <v>93</v>
      </c>
      <c r="Q131" s="17" t="s">
        <v>65</v>
      </c>
    </row>
    <row r="132" customFormat="false" ht="15" hidden="false" customHeight="true" outlineLevel="0" collapsed="false">
      <c r="A132" s="11" t="s">
        <v>265</v>
      </c>
      <c r="B132" s="11" t="s">
        <v>25</v>
      </c>
      <c r="C132" s="11" t="s">
        <v>263</v>
      </c>
      <c r="D132" s="11" t="s">
        <v>172</v>
      </c>
      <c r="E132" s="11" t="s">
        <v>48</v>
      </c>
      <c r="F132" s="11" t="s">
        <v>49</v>
      </c>
      <c r="G132" s="12" t="n">
        <v>75</v>
      </c>
      <c r="H132" s="12" t="n">
        <v>95</v>
      </c>
      <c r="I132" s="13" t="n">
        <f aca="false">IF(H132=0,"",G132/H132)</f>
        <v>0.789473684210526</v>
      </c>
      <c r="J132" s="14" t="n">
        <f aca="false">ROUND(H132*Resumen!$B$4,0)</f>
        <v>119</v>
      </c>
      <c r="K132" s="11" t="s">
        <v>9</v>
      </c>
      <c r="L132" s="14" t="n">
        <v>75</v>
      </c>
      <c r="M132" s="11" t="n">
        <v>-32.7393257</v>
      </c>
      <c r="N132" s="11" t="n">
        <v>-70.7178628</v>
      </c>
      <c r="O132" s="15" t="n">
        <v>106</v>
      </c>
      <c r="P132" s="18" t="n">
        <v>106</v>
      </c>
      <c r="Q132" s="17" t="s">
        <v>65</v>
      </c>
    </row>
    <row r="133" customFormat="false" ht="15" hidden="false" customHeight="true" outlineLevel="0" collapsed="false">
      <c r="A133" s="11" t="s">
        <v>266</v>
      </c>
      <c r="B133" s="11" t="s">
        <v>26</v>
      </c>
      <c r="C133" s="11" t="s">
        <v>69</v>
      </c>
      <c r="D133" s="11" t="s">
        <v>267</v>
      </c>
      <c r="E133" s="11" t="s">
        <v>48</v>
      </c>
      <c r="F133" s="11" t="s">
        <v>49</v>
      </c>
      <c r="G133" s="12" t="n">
        <v>136</v>
      </c>
      <c r="H133" s="12" t="n">
        <v>305</v>
      </c>
      <c r="I133" s="13" t="n">
        <f aca="false">IF(H133=0,"",G133/H133)</f>
        <v>0.445901639344262</v>
      </c>
      <c r="J133" s="14" t="n">
        <f aca="false">ROUND(H133*Resumen!$B$4,0)</f>
        <v>381</v>
      </c>
      <c r="K133" s="11" t="s">
        <v>9</v>
      </c>
      <c r="L133" s="14" t="n">
        <v>135</v>
      </c>
      <c r="M133" s="11" t="n">
        <v>-32.737213</v>
      </c>
      <c r="N133" s="11" t="n">
        <v>-71.4378959</v>
      </c>
      <c r="O133" s="15" t="n">
        <v>400</v>
      </c>
      <c r="P133" s="18" t="n">
        <v>400</v>
      </c>
      <c r="Q133" s="17" t="s">
        <v>65</v>
      </c>
    </row>
    <row r="134" customFormat="false" ht="15" hidden="false" customHeight="true" outlineLevel="0" collapsed="false">
      <c r="A134" s="11" t="s">
        <v>268</v>
      </c>
      <c r="B134" s="11" t="s">
        <v>26</v>
      </c>
      <c r="C134" s="11" t="s">
        <v>69</v>
      </c>
      <c r="D134" s="11" t="s">
        <v>172</v>
      </c>
      <c r="E134" s="11" t="s">
        <v>48</v>
      </c>
      <c r="F134" s="11" t="s">
        <v>49</v>
      </c>
      <c r="G134" s="12" t="n">
        <v>75</v>
      </c>
      <c r="H134" s="12" t="n">
        <v>316</v>
      </c>
      <c r="I134" s="13" t="n">
        <f aca="false">IF(H134=0,"",G134/H134)</f>
        <v>0.237341772151899</v>
      </c>
      <c r="J134" s="14" t="n">
        <f aca="false">ROUND(H134*Resumen!$B$4,0)</f>
        <v>395</v>
      </c>
      <c r="K134" s="11" t="s">
        <v>9</v>
      </c>
      <c r="L134" s="14" t="n">
        <v>75</v>
      </c>
      <c r="M134" s="11" t="n">
        <v>-32.7393257</v>
      </c>
      <c r="N134" s="11" t="n">
        <v>-70.7178628</v>
      </c>
      <c r="O134" s="15" t="n">
        <v>346</v>
      </c>
      <c r="P134" s="18" t="n">
        <v>346</v>
      </c>
      <c r="Q134" s="17" t="s">
        <v>65</v>
      </c>
    </row>
    <row r="135" customFormat="false" ht="15" hidden="false" customHeight="true" outlineLevel="0" collapsed="false">
      <c r="A135" s="11" t="s">
        <v>269</v>
      </c>
      <c r="B135" s="11" t="s">
        <v>26</v>
      </c>
      <c r="C135" s="11" t="s">
        <v>69</v>
      </c>
      <c r="D135" s="11" t="s">
        <v>270</v>
      </c>
      <c r="E135" s="11" t="s">
        <v>64</v>
      </c>
      <c r="F135" s="11" t="s">
        <v>49</v>
      </c>
      <c r="G135" s="12" t="n">
        <v>15</v>
      </c>
      <c r="H135" s="12" t="n">
        <v>244</v>
      </c>
      <c r="I135" s="13" t="n">
        <f aca="false">IF(H135=0,"",G135/H135)</f>
        <v>0.0614754098360656</v>
      </c>
      <c r="J135" s="14" t="n">
        <f aca="false">ROUND(H135*Resumen!$B$4,0)</f>
        <v>305</v>
      </c>
      <c r="K135" s="11" t="s">
        <v>9</v>
      </c>
      <c r="L135" s="14" t="n">
        <v>14</v>
      </c>
      <c r="M135" s="11" t="n">
        <v>-33.4377752</v>
      </c>
      <c r="N135" s="11" t="n">
        <v>-70.6505796</v>
      </c>
      <c r="O135" s="15" t="n">
        <v>261</v>
      </c>
      <c r="P135" s="18" t="n">
        <v>261</v>
      </c>
      <c r="Q135" s="17" t="s">
        <v>65</v>
      </c>
    </row>
    <row r="136" customFormat="false" ht="15" hidden="false" customHeight="true" outlineLevel="0" collapsed="false">
      <c r="A136" s="11" t="s">
        <v>271</v>
      </c>
      <c r="B136" s="11" t="s">
        <v>26</v>
      </c>
      <c r="C136" s="11" t="s">
        <v>69</v>
      </c>
      <c r="D136" s="11" t="s">
        <v>176</v>
      </c>
      <c r="E136" s="11" t="s">
        <v>64</v>
      </c>
      <c r="F136" s="11" t="s">
        <v>49</v>
      </c>
      <c r="G136" s="12" t="n">
        <v>22</v>
      </c>
      <c r="H136" s="12" t="n">
        <v>238</v>
      </c>
      <c r="I136" s="13" t="n">
        <f aca="false">IF(H136=0,"",G136/H136)</f>
        <v>0.092436974789916</v>
      </c>
      <c r="J136" s="14" t="n">
        <f aca="false">ROUND(H136*Resumen!$B$4,0)</f>
        <v>298</v>
      </c>
      <c r="K136" s="11" t="s">
        <v>9</v>
      </c>
      <c r="L136" s="14" t="n">
        <v>22</v>
      </c>
      <c r="M136" s="11" t="n">
        <v>-33.4834342</v>
      </c>
      <c r="N136" s="11" t="n">
        <v>-70.6955562</v>
      </c>
      <c r="O136" s="15" t="n">
        <v>255</v>
      </c>
      <c r="P136" s="18" t="n">
        <v>255</v>
      </c>
      <c r="Q136" s="17" t="s">
        <v>65</v>
      </c>
    </row>
    <row r="137" customFormat="false" ht="15" hidden="false" customHeight="true" outlineLevel="0" collapsed="false">
      <c r="A137" s="11" t="s">
        <v>272</v>
      </c>
      <c r="B137" s="11" t="s">
        <v>26</v>
      </c>
      <c r="C137" s="11" t="s">
        <v>69</v>
      </c>
      <c r="D137" s="11" t="s">
        <v>92</v>
      </c>
      <c r="E137" s="11" t="s">
        <v>64</v>
      </c>
      <c r="F137" s="11" t="s">
        <v>49</v>
      </c>
      <c r="G137" s="12" t="n">
        <v>25</v>
      </c>
      <c r="H137" s="12" t="n">
        <v>239</v>
      </c>
      <c r="I137" s="13" t="n">
        <f aca="false">IF(H137=0,"",G137/H137)</f>
        <v>0.104602510460251</v>
      </c>
      <c r="J137" s="14" t="n">
        <f aca="false">ROUND(H137*Resumen!$B$4,0)</f>
        <v>299</v>
      </c>
      <c r="K137" s="11" t="s">
        <v>9</v>
      </c>
      <c r="L137" s="14" t="n">
        <v>25</v>
      </c>
      <c r="M137" s="11" t="n">
        <v>-33.5092379</v>
      </c>
      <c r="N137" s="11" t="n">
        <v>-70.5900473</v>
      </c>
      <c r="O137" s="15" t="n">
        <v>260</v>
      </c>
      <c r="P137" s="18" t="n">
        <v>260</v>
      </c>
      <c r="Q137" s="17" t="s">
        <v>65</v>
      </c>
    </row>
    <row r="138" customFormat="false" ht="15" hidden="false" customHeight="true" outlineLevel="0" collapsed="false">
      <c r="A138" s="11" t="s">
        <v>273</v>
      </c>
      <c r="B138" s="11" t="s">
        <v>26</v>
      </c>
      <c r="C138" s="11" t="s">
        <v>69</v>
      </c>
      <c r="D138" s="11" t="s">
        <v>189</v>
      </c>
      <c r="E138" s="11" t="s">
        <v>64</v>
      </c>
      <c r="F138" s="11" t="s">
        <v>49</v>
      </c>
      <c r="G138" s="12" t="n">
        <v>51</v>
      </c>
      <c r="H138" s="12" t="n">
        <v>273</v>
      </c>
      <c r="I138" s="13" t="n">
        <f aca="false">IF(H138=0,"",G138/H138)</f>
        <v>0.186813186813187</v>
      </c>
      <c r="J138" s="14" t="n">
        <f aca="false">ROUND(H138*Resumen!$B$4,0)</f>
        <v>341</v>
      </c>
      <c r="K138" s="11" t="s">
        <v>9</v>
      </c>
      <c r="L138" s="14" t="n">
        <v>52</v>
      </c>
      <c r="M138" s="11" t="n">
        <v>-33.0863887</v>
      </c>
      <c r="N138" s="11" t="n">
        <v>-70.9282252</v>
      </c>
      <c r="O138" s="15" t="n">
        <v>317</v>
      </c>
      <c r="P138" s="18" t="n">
        <v>317</v>
      </c>
      <c r="Q138" s="17" t="s">
        <v>65</v>
      </c>
    </row>
    <row r="139" customFormat="false" ht="15" hidden="false" customHeight="true" outlineLevel="0" collapsed="false">
      <c r="A139" s="11" t="s">
        <v>274</v>
      </c>
      <c r="B139" s="11" t="s">
        <v>26</v>
      </c>
      <c r="C139" s="11" t="s">
        <v>69</v>
      </c>
      <c r="D139" s="11" t="s">
        <v>275</v>
      </c>
      <c r="E139" s="11" t="s">
        <v>112</v>
      </c>
      <c r="F139" s="11" t="s">
        <v>49</v>
      </c>
      <c r="G139" s="12" t="n">
        <v>86</v>
      </c>
      <c r="H139" s="12" t="n">
        <v>178</v>
      </c>
      <c r="I139" s="13" t="n">
        <f aca="false">IF(H139=0,"",G139/H139)</f>
        <v>0.48314606741573</v>
      </c>
      <c r="J139" s="14" t="n">
        <f aca="false">ROUND(H139*Resumen!$B$4,0)</f>
        <v>223</v>
      </c>
      <c r="K139" s="11" t="s">
        <v>9</v>
      </c>
      <c r="L139" s="14" t="n">
        <v>86</v>
      </c>
      <c r="M139" s="11" t="n">
        <v>-34.065695</v>
      </c>
      <c r="N139" s="11" t="n">
        <v>-70.7250552</v>
      </c>
      <c r="O139" s="15" t="n">
        <v>186</v>
      </c>
      <c r="P139" s="18" t="n">
        <v>186</v>
      </c>
      <c r="Q139" s="17" t="s">
        <v>65</v>
      </c>
    </row>
    <row r="140" customFormat="false" ht="15" hidden="false" customHeight="true" outlineLevel="0" collapsed="false">
      <c r="A140" s="11" t="s">
        <v>276</v>
      </c>
      <c r="B140" s="11" t="s">
        <v>27</v>
      </c>
      <c r="C140" s="11" t="s">
        <v>277</v>
      </c>
      <c r="D140" s="11" t="s">
        <v>257</v>
      </c>
      <c r="E140" s="11" t="s">
        <v>64</v>
      </c>
      <c r="F140" s="11" t="s">
        <v>49</v>
      </c>
      <c r="G140" s="12" t="n">
        <v>9</v>
      </c>
      <c r="H140" s="12" t="n">
        <v>615</v>
      </c>
      <c r="I140" s="13" t="n">
        <f aca="false">IF(H140=0,"",G140/H140)</f>
        <v>0.0146341463414634</v>
      </c>
      <c r="J140" s="14" t="n">
        <f aca="false">ROUND(H140*Resumen!$B$4,0)</f>
        <v>769</v>
      </c>
      <c r="K140" s="11" t="s">
        <v>9</v>
      </c>
      <c r="L140" s="14" t="n">
        <v>9</v>
      </c>
      <c r="M140" s="11" t="n">
        <v>-33.4016286</v>
      </c>
      <c r="N140" s="11" t="n">
        <v>-70.6432676</v>
      </c>
      <c r="O140" s="15" t="n">
        <v>681</v>
      </c>
      <c r="P140" s="18" t="n">
        <v>681</v>
      </c>
      <c r="Q140" s="17" t="s">
        <v>65</v>
      </c>
    </row>
    <row r="141" customFormat="false" ht="15" hidden="false" customHeight="true" outlineLevel="0" collapsed="false">
      <c r="A141" s="11" t="s">
        <v>278</v>
      </c>
      <c r="B141" s="11" t="s">
        <v>27</v>
      </c>
      <c r="C141" s="11" t="s">
        <v>277</v>
      </c>
      <c r="D141" s="11" t="s">
        <v>259</v>
      </c>
      <c r="E141" s="11" t="s">
        <v>64</v>
      </c>
      <c r="F141" s="11" t="s">
        <v>49</v>
      </c>
      <c r="G141" s="12" t="n">
        <v>11</v>
      </c>
      <c r="H141" s="12" t="n">
        <v>613</v>
      </c>
      <c r="I141" s="13" t="n">
        <f aca="false">IF(H141=0,"",G141/H141)</f>
        <v>0.0179445350734095</v>
      </c>
      <c r="J141" s="14" t="n">
        <f aca="false">ROUND(H141*Resumen!$B$4,0)</f>
        <v>766</v>
      </c>
      <c r="K141" s="11" t="s">
        <v>9</v>
      </c>
      <c r="L141" s="14" t="n">
        <v>11</v>
      </c>
      <c r="M141" s="11" t="n">
        <v>-33.4038207</v>
      </c>
      <c r="N141" s="11" t="n">
        <v>-70.709095</v>
      </c>
      <c r="O141" s="15" t="n">
        <v>679</v>
      </c>
      <c r="P141" s="18" t="n">
        <v>679</v>
      </c>
      <c r="Q141" s="17" t="s">
        <v>65</v>
      </c>
    </row>
    <row r="142" customFormat="false" ht="15" hidden="false" customHeight="true" outlineLevel="0" collapsed="false">
      <c r="A142" s="11" t="s">
        <v>279</v>
      </c>
      <c r="B142" s="11" t="s">
        <v>27</v>
      </c>
      <c r="C142" s="11" t="s">
        <v>277</v>
      </c>
      <c r="D142" s="11" t="s">
        <v>252</v>
      </c>
      <c r="E142" s="11" t="s">
        <v>64</v>
      </c>
      <c r="F142" s="11" t="s">
        <v>49</v>
      </c>
      <c r="G142" s="12" t="n">
        <v>18</v>
      </c>
      <c r="H142" s="12" t="n">
        <v>630</v>
      </c>
      <c r="I142" s="13" t="n">
        <f aca="false">IF(H142=0,"",G142/H142)</f>
        <v>0.0285714285714286</v>
      </c>
      <c r="J142" s="14" t="n">
        <f aca="false">ROUND(H142*Resumen!$B$4,0)</f>
        <v>788</v>
      </c>
      <c r="K142" s="11" t="s">
        <v>9</v>
      </c>
      <c r="L142" s="14" t="n">
        <v>19</v>
      </c>
      <c r="M142" s="11" t="n">
        <v>-33.2476359</v>
      </c>
      <c r="N142" s="11" t="n">
        <v>-70.7146007</v>
      </c>
      <c r="O142" s="15" t="n">
        <v>697</v>
      </c>
      <c r="P142" s="18" t="n">
        <v>697</v>
      </c>
      <c r="Q142" s="17" t="s">
        <v>65</v>
      </c>
    </row>
    <row r="143" customFormat="false" ht="15" hidden="false" customHeight="true" outlineLevel="0" collapsed="false">
      <c r="A143" s="11" t="s">
        <v>280</v>
      </c>
      <c r="B143" s="11" t="s">
        <v>27</v>
      </c>
      <c r="C143" s="11" t="s">
        <v>277</v>
      </c>
      <c r="D143" s="11" t="s">
        <v>98</v>
      </c>
      <c r="E143" s="11" t="s">
        <v>64</v>
      </c>
      <c r="F143" s="11" t="s">
        <v>49</v>
      </c>
      <c r="G143" s="12" t="n">
        <v>35</v>
      </c>
      <c r="H143" s="12" t="n">
        <v>588</v>
      </c>
      <c r="I143" s="13" t="n">
        <f aca="false">IF(H143=0,"",G143/H143)</f>
        <v>0.0595238095238095</v>
      </c>
      <c r="J143" s="14" t="n">
        <f aca="false">ROUND(H143*Resumen!$B$4,0)</f>
        <v>735</v>
      </c>
      <c r="K143" s="11" t="s">
        <v>9</v>
      </c>
      <c r="L143" s="14" t="n">
        <v>37</v>
      </c>
      <c r="M143" s="11" t="n">
        <v>-33.6307372</v>
      </c>
      <c r="N143" s="11" t="n">
        <v>-70.7591428</v>
      </c>
      <c r="O143" s="15" t="n">
        <v>657</v>
      </c>
      <c r="P143" s="18" t="n">
        <v>657</v>
      </c>
      <c r="Q143" s="17" t="s">
        <v>65</v>
      </c>
    </row>
    <row r="144" customFormat="false" ht="15" hidden="false" customHeight="true" outlineLevel="0" collapsed="false">
      <c r="A144" s="11" t="s">
        <v>281</v>
      </c>
      <c r="B144" s="11" t="s">
        <v>18</v>
      </c>
      <c r="C144" s="11" t="s">
        <v>72</v>
      </c>
      <c r="D144" s="11" t="s">
        <v>282</v>
      </c>
      <c r="E144" s="11" t="s">
        <v>64</v>
      </c>
      <c r="F144" s="11" t="s">
        <v>49</v>
      </c>
      <c r="G144" s="12" t="n">
        <v>6</v>
      </c>
      <c r="H144" s="12" t="n">
        <v>1092</v>
      </c>
      <c r="I144" s="13" t="n">
        <f aca="false">IF(H144=0,"",G144/H144)</f>
        <v>0.0054945054945055</v>
      </c>
      <c r="J144" s="14" t="n">
        <f aca="false">ROUND(H144*Resumen!$B$4,0)</f>
        <v>1365</v>
      </c>
      <c r="K144" s="11" t="s">
        <v>11</v>
      </c>
      <c r="L144" s="14" t="n">
        <v>10</v>
      </c>
      <c r="M144" s="11" t="n">
        <v>-33.3978904</v>
      </c>
      <c r="N144" s="11" t="n">
        <v>-70.6695999</v>
      </c>
      <c r="O144" s="15" t="n">
        <v>1335</v>
      </c>
      <c r="P144" s="18" t="n">
        <v>1335</v>
      </c>
      <c r="Q144" s="17" t="s">
        <v>65</v>
      </c>
    </row>
    <row r="145" customFormat="false" ht="15" hidden="false" customHeight="true" outlineLevel="0" collapsed="false">
      <c r="A145" s="11" t="s">
        <v>283</v>
      </c>
      <c r="B145" s="11" t="s">
        <v>18</v>
      </c>
      <c r="C145" s="11" t="s">
        <v>72</v>
      </c>
      <c r="D145" s="11" t="s">
        <v>284</v>
      </c>
      <c r="E145" s="11" t="s">
        <v>64</v>
      </c>
      <c r="F145" s="11" t="s">
        <v>49</v>
      </c>
      <c r="G145" s="12" t="n">
        <v>17</v>
      </c>
      <c r="H145" s="12" t="n">
        <v>1093</v>
      </c>
      <c r="I145" s="13" t="n">
        <f aca="false">IF(H145=0,"",G145/H145)</f>
        <v>0.0155535224153705</v>
      </c>
      <c r="J145" s="14" t="n">
        <f aca="false">ROUND(H145*Resumen!$B$4,0)</f>
        <v>1366</v>
      </c>
      <c r="K145" s="11" t="s">
        <v>11</v>
      </c>
      <c r="L145" s="14" t="n">
        <v>25</v>
      </c>
      <c r="M145" s="11" t="n">
        <v>-33.4054866</v>
      </c>
      <c r="N145" s="11" t="n">
        <v>-70.5743833</v>
      </c>
      <c r="O145" s="15" t="n">
        <v>1345</v>
      </c>
      <c r="P145" s="18" t="n">
        <v>1345</v>
      </c>
      <c r="Q145" s="17" t="s">
        <v>65</v>
      </c>
    </row>
    <row r="146" customFormat="false" ht="15" hidden="false" customHeight="true" outlineLevel="0" collapsed="false">
      <c r="A146" s="11" t="s">
        <v>285</v>
      </c>
      <c r="B146" s="11" t="s">
        <v>18</v>
      </c>
      <c r="C146" s="11" t="s">
        <v>72</v>
      </c>
      <c r="D146" s="11" t="s">
        <v>286</v>
      </c>
      <c r="E146" s="11" t="s">
        <v>64</v>
      </c>
      <c r="F146" s="11" t="s">
        <v>49</v>
      </c>
      <c r="G146" s="12" t="n">
        <v>23</v>
      </c>
      <c r="H146" s="12" t="n">
        <v>1087</v>
      </c>
      <c r="I146" s="13" t="n">
        <f aca="false">IF(H146=0,"",G146/H146)</f>
        <v>0.0211591536338546</v>
      </c>
      <c r="J146" s="14" t="n">
        <f aca="false">ROUND(H146*Resumen!$B$4,0)</f>
        <v>1359</v>
      </c>
      <c r="K146" s="11" t="s">
        <v>11</v>
      </c>
      <c r="L146" s="14" t="n">
        <v>37</v>
      </c>
      <c r="M146" s="11" t="n">
        <v>-33.3528337</v>
      </c>
      <c r="N146" s="11" t="n">
        <v>-70.5185636</v>
      </c>
      <c r="O146" s="15" t="n">
        <v>1352</v>
      </c>
      <c r="P146" s="18" t="n">
        <v>1352</v>
      </c>
      <c r="Q146" s="17" t="s">
        <v>65</v>
      </c>
    </row>
    <row r="147" customFormat="false" ht="15" hidden="false" customHeight="true" outlineLevel="0" collapsed="false">
      <c r="A147" s="11" t="s">
        <v>287</v>
      </c>
      <c r="B147" s="11" t="s">
        <v>18</v>
      </c>
      <c r="C147" s="11" t="s">
        <v>72</v>
      </c>
      <c r="D147" s="11" t="s">
        <v>288</v>
      </c>
      <c r="E147" s="11" t="s">
        <v>64</v>
      </c>
      <c r="F147" s="11" t="s">
        <v>49</v>
      </c>
      <c r="G147" s="12" t="n">
        <v>28</v>
      </c>
      <c r="H147" s="12" t="n">
        <v>1105</v>
      </c>
      <c r="I147" s="13" t="n">
        <f aca="false">IF(H147=0,"",G147/H147)</f>
        <v>0.0253393665158371</v>
      </c>
      <c r="J147" s="14" t="n">
        <f aca="false">ROUND(H147*Resumen!$B$4,0)</f>
        <v>1381</v>
      </c>
      <c r="K147" s="11" t="s">
        <v>11</v>
      </c>
      <c r="L147" s="14" t="n">
        <v>24</v>
      </c>
      <c r="M147" s="11" t="n">
        <v>-33.5145269</v>
      </c>
      <c r="N147" s="11" t="n">
        <v>-70.6858822</v>
      </c>
      <c r="O147" s="15" t="n">
        <v>1350</v>
      </c>
      <c r="P147" s="18" t="n">
        <v>1350</v>
      </c>
      <c r="Q147" s="17" t="s">
        <v>65</v>
      </c>
    </row>
    <row r="148" customFormat="false" ht="15" hidden="false" customHeight="true" outlineLevel="0" collapsed="false">
      <c r="A148" s="11" t="s">
        <v>289</v>
      </c>
      <c r="B148" s="11" t="s">
        <v>19</v>
      </c>
      <c r="C148" s="11" t="s">
        <v>104</v>
      </c>
      <c r="D148" s="11" t="s">
        <v>290</v>
      </c>
      <c r="E148" s="11" t="s">
        <v>64</v>
      </c>
      <c r="F148" s="11" t="s">
        <v>49</v>
      </c>
      <c r="G148" s="12" t="n">
        <v>56</v>
      </c>
      <c r="H148" s="12" t="n">
        <v>358</v>
      </c>
      <c r="I148" s="13" t="n">
        <f aca="false">IF(H148=0,"",G148/H148)</f>
        <v>0.156424581005587</v>
      </c>
      <c r="J148" s="14" t="n">
        <f aca="false">ROUND(H148*Resumen!$B$4,0)</f>
        <v>448</v>
      </c>
      <c r="K148" s="11" t="s">
        <v>11</v>
      </c>
      <c r="L148" s="14"/>
      <c r="M148" s="11" t="n">
        <v>-33.5135304</v>
      </c>
      <c r="N148" s="11" t="n">
        <v>-71.0978672</v>
      </c>
      <c r="O148" s="15" t="n">
        <v>450</v>
      </c>
      <c r="P148" s="18" t="n">
        <v>450</v>
      </c>
      <c r="Q148" s="17" t="s">
        <v>65</v>
      </c>
    </row>
    <row r="149" customFormat="false" ht="15" hidden="false" customHeight="true" outlineLevel="0" collapsed="false">
      <c r="A149" s="11" t="s">
        <v>291</v>
      </c>
      <c r="B149" s="11" t="s">
        <v>19</v>
      </c>
      <c r="C149" s="11" t="s">
        <v>104</v>
      </c>
      <c r="D149" s="11" t="s">
        <v>292</v>
      </c>
      <c r="E149" s="11" t="s">
        <v>64</v>
      </c>
      <c r="F149" s="11" t="s">
        <v>49</v>
      </c>
      <c r="G149" s="12" t="n">
        <v>68</v>
      </c>
      <c r="H149" s="12" t="n">
        <v>343</v>
      </c>
      <c r="I149" s="13" t="n">
        <f aca="false">IF(H149=0,"",G149/H149)</f>
        <v>0.198250728862974</v>
      </c>
      <c r="J149" s="14" t="n">
        <f aca="false">ROUND(H149*Resumen!$B$4,0)</f>
        <v>429</v>
      </c>
      <c r="K149" s="11" t="s">
        <v>11</v>
      </c>
      <c r="L149" s="14" t="n">
        <v>60</v>
      </c>
      <c r="M149" s="11" t="n">
        <v>-33.6783192</v>
      </c>
      <c r="N149" s="11" t="n">
        <v>-70.9782465</v>
      </c>
      <c r="O149" s="15" t="n">
        <v>397</v>
      </c>
      <c r="P149" s="18" t="n">
        <v>397</v>
      </c>
      <c r="Q149" s="17" t="s">
        <v>65</v>
      </c>
    </row>
    <row r="150" customFormat="false" ht="15" hidden="false" customHeight="true" outlineLevel="0" collapsed="false">
      <c r="A150" s="11" t="s">
        <v>293</v>
      </c>
      <c r="B150" s="11" t="s">
        <v>19</v>
      </c>
      <c r="C150" s="11" t="s">
        <v>104</v>
      </c>
      <c r="D150" s="11" t="s">
        <v>294</v>
      </c>
      <c r="E150" s="11" t="s">
        <v>64</v>
      </c>
      <c r="F150" s="11" t="s">
        <v>49</v>
      </c>
      <c r="G150" s="12" t="n">
        <v>59</v>
      </c>
      <c r="H150" s="12" t="n">
        <v>338</v>
      </c>
      <c r="I150" s="13" t="n">
        <f aca="false">IF(H150=0,"",G150/H150)</f>
        <v>0.174556213017751</v>
      </c>
      <c r="J150" s="14" t="n">
        <f aca="false">ROUND(H150*Resumen!$B$4,0)</f>
        <v>423</v>
      </c>
      <c r="K150" s="11" t="s">
        <v>11</v>
      </c>
      <c r="L150" s="14" t="n">
        <v>63</v>
      </c>
      <c r="M150" s="11" t="n">
        <v>-33.7496846</v>
      </c>
      <c r="N150" s="11" t="n">
        <v>-70.9007513</v>
      </c>
      <c r="O150" s="15" t="n">
        <v>381</v>
      </c>
      <c r="P150" s="18" t="n">
        <v>381</v>
      </c>
      <c r="Q150" s="17" t="s">
        <v>65</v>
      </c>
    </row>
    <row r="151" customFormat="false" ht="15" hidden="false" customHeight="true" outlineLevel="0" collapsed="false">
      <c r="A151" s="11" t="s">
        <v>295</v>
      </c>
      <c r="B151" s="11" t="s">
        <v>19</v>
      </c>
      <c r="C151" s="11" t="s">
        <v>104</v>
      </c>
      <c r="D151" s="11" t="s">
        <v>296</v>
      </c>
      <c r="E151" s="11" t="s">
        <v>48</v>
      </c>
      <c r="F151" s="11" t="s">
        <v>49</v>
      </c>
      <c r="G151" s="12" t="n">
        <v>206</v>
      </c>
      <c r="H151" s="12" t="n">
        <v>434</v>
      </c>
      <c r="I151" s="13" t="n">
        <f aca="false">IF(H151=0,"",G151/H151)</f>
        <v>0.474654377880184</v>
      </c>
      <c r="J151" s="14" t="n">
        <f aca="false">ROUND(H151*Resumen!$B$4,0)</f>
        <v>543</v>
      </c>
      <c r="K151" s="11" t="s">
        <v>11</v>
      </c>
      <c r="L151" s="14" t="n">
        <v>201</v>
      </c>
      <c r="M151" s="11" t="n">
        <v>-32.8250586</v>
      </c>
      <c r="N151" s="11" t="n">
        <v>-71.0215902</v>
      </c>
      <c r="O151" s="15" t="n">
        <v>497</v>
      </c>
      <c r="P151" s="18" t="n">
        <v>497</v>
      </c>
      <c r="Q151" s="17" t="s">
        <v>65</v>
      </c>
    </row>
    <row r="152" customFormat="false" ht="15" hidden="false" customHeight="true" outlineLevel="0" collapsed="false">
      <c r="A152" s="11" t="s">
        <v>297</v>
      </c>
      <c r="B152" s="11" t="s">
        <v>19</v>
      </c>
      <c r="C152" s="11" t="s">
        <v>104</v>
      </c>
      <c r="D152" s="11" t="s">
        <v>298</v>
      </c>
      <c r="E152" s="11" t="s">
        <v>64</v>
      </c>
      <c r="F152" s="11" t="s">
        <v>49</v>
      </c>
      <c r="G152" s="12" t="n">
        <v>27</v>
      </c>
      <c r="H152" s="12" t="n">
        <v>370</v>
      </c>
      <c r="I152" s="13" t="n">
        <f aca="false">IF(H152=0,"",G152/H152)</f>
        <v>0.072972972972973</v>
      </c>
      <c r="J152" s="14" t="n">
        <f aca="false">ROUND(H152*Resumen!$B$4,0)</f>
        <v>463</v>
      </c>
      <c r="K152" s="11" t="s">
        <v>11</v>
      </c>
      <c r="L152" s="14" t="n">
        <v>35</v>
      </c>
      <c r="M152" s="11" t="n">
        <v>-33.5416155</v>
      </c>
      <c r="N152" s="11" t="n">
        <v>-70.5712122</v>
      </c>
      <c r="O152" s="15" t="n">
        <v>404</v>
      </c>
      <c r="P152" s="18" t="n">
        <v>404</v>
      </c>
      <c r="Q152" s="17" t="s">
        <v>65</v>
      </c>
    </row>
    <row r="153" customFormat="false" ht="15" hidden="false" customHeight="true" outlineLevel="0" collapsed="false">
      <c r="A153" s="11" t="s">
        <v>299</v>
      </c>
      <c r="B153" s="11" t="s">
        <v>19</v>
      </c>
      <c r="C153" s="11" t="s">
        <v>104</v>
      </c>
      <c r="D153" s="11" t="s">
        <v>284</v>
      </c>
      <c r="E153" s="11" t="s">
        <v>64</v>
      </c>
      <c r="F153" s="11" t="s">
        <v>49</v>
      </c>
      <c r="G153" s="12" t="n">
        <v>17</v>
      </c>
      <c r="H153" s="12" t="n">
        <v>384</v>
      </c>
      <c r="I153" s="13" t="n">
        <f aca="false">IF(H153=0,"",G153/H153)</f>
        <v>0.0442708333333333</v>
      </c>
      <c r="J153" s="14" t="n">
        <f aca="false">ROUND(H153*Resumen!$B$4,0)</f>
        <v>480</v>
      </c>
      <c r="K153" s="11" t="s">
        <v>11</v>
      </c>
      <c r="L153" s="14" t="n">
        <v>25</v>
      </c>
      <c r="M153" s="11" t="n">
        <v>-33.4054866</v>
      </c>
      <c r="N153" s="11" t="n">
        <v>-70.5743833</v>
      </c>
      <c r="O153" s="15" t="n">
        <v>416</v>
      </c>
      <c r="P153" s="18" t="n">
        <v>416</v>
      </c>
      <c r="Q153" s="17" t="s">
        <v>65</v>
      </c>
    </row>
    <row r="154" customFormat="false" ht="15" hidden="false" customHeight="true" outlineLevel="0" collapsed="false">
      <c r="A154" s="11" t="s">
        <v>300</v>
      </c>
      <c r="B154" s="11" t="s">
        <v>19</v>
      </c>
      <c r="C154" s="11" t="s">
        <v>104</v>
      </c>
      <c r="D154" s="11" t="s">
        <v>286</v>
      </c>
      <c r="E154" s="11" t="s">
        <v>64</v>
      </c>
      <c r="F154" s="11" t="s">
        <v>49</v>
      </c>
      <c r="G154" s="12" t="n">
        <v>23</v>
      </c>
      <c r="H154" s="12" t="n">
        <v>392</v>
      </c>
      <c r="I154" s="13" t="n">
        <f aca="false">IF(H154=0,"",G154/H154)</f>
        <v>0.0586734693877551</v>
      </c>
      <c r="J154" s="14" t="n">
        <f aca="false">ROUND(H154*Resumen!$B$4,0)</f>
        <v>490</v>
      </c>
      <c r="K154" s="11" t="s">
        <v>11</v>
      </c>
      <c r="L154" s="14" t="n">
        <v>37</v>
      </c>
      <c r="M154" s="11" t="n">
        <v>-33.3528337</v>
      </c>
      <c r="N154" s="11" t="n">
        <v>-70.5185636</v>
      </c>
      <c r="O154" s="15" t="n">
        <v>427</v>
      </c>
      <c r="P154" s="18" t="n">
        <v>427</v>
      </c>
      <c r="Q154" s="17" t="s">
        <v>65</v>
      </c>
    </row>
    <row r="155" customFormat="false" ht="15" hidden="false" customHeight="true" outlineLevel="0" collapsed="false">
      <c r="A155" s="11" t="s">
        <v>301</v>
      </c>
      <c r="B155" s="11" t="s">
        <v>19</v>
      </c>
      <c r="C155" s="11" t="s">
        <v>104</v>
      </c>
      <c r="D155" s="11" t="s">
        <v>288</v>
      </c>
      <c r="E155" s="11" t="s">
        <v>64</v>
      </c>
      <c r="F155" s="11" t="s">
        <v>49</v>
      </c>
      <c r="G155" s="12" t="n">
        <v>28</v>
      </c>
      <c r="H155" s="12" t="n">
        <v>369</v>
      </c>
      <c r="I155" s="13" t="n">
        <f aca="false">IF(H155=0,"",G155/H155)</f>
        <v>0.0758807588075881</v>
      </c>
      <c r="J155" s="14" t="n">
        <f aca="false">ROUND(H155*Resumen!$B$4,0)</f>
        <v>461</v>
      </c>
      <c r="K155" s="11" t="s">
        <v>11</v>
      </c>
      <c r="L155" s="14" t="n">
        <v>24</v>
      </c>
      <c r="M155" s="11" t="n">
        <v>-33.5145269</v>
      </c>
      <c r="N155" s="11" t="n">
        <v>-70.6858822</v>
      </c>
      <c r="O155" s="15" t="n">
        <v>398</v>
      </c>
      <c r="P155" s="18" t="n">
        <v>398</v>
      </c>
      <c r="Q155" s="17" t="s">
        <v>65</v>
      </c>
    </row>
    <row r="156" customFormat="false" ht="15" hidden="false" customHeight="true" outlineLevel="0" collapsed="false">
      <c r="A156" s="11" t="s">
        <v>302</v>
      </c>
      <c r="B156" s="11" t="s">
        <v>19</v>
      </c>
      <c r="C156" s="11" t="s">
        <v>104</v>
      </c>
      <c r="D156" s="11" t="s">
        <v>303</v>
      </c>
      <c r="E156" s="11" t="s">
        <v>64</v>
      </c>
      <c r="F156" s="11" t="s">
        <v>49</v>
      </c>
      <c r="G156" s="12" t="n">
        <v>25</v>
      </c>
      <c r="H156" s="12" t="n">
        <v>378</v>
      </c>
      <c r="I156" s="13" t="n">
        <f aca="false">IF(H156=0,"",G156/H156)</f>
        <v>0.0661375661375661</v>
      </c>
      <c r="J156" s="14" t="n">
        <f aca="false">ROUND(H156*Resumen!$B$4,0)</f>
        <v>473</v>
      </c>
      <c r="K156" s="11" t="s">
        <v>11</v>
      </c>
      <c r="L156" s="14" t="n">
        <v>41</v>
      </c>
      <c r="M156" s="11" t="n">
        <v>-33.4884163</v>
      </c>
      <c r="N156" s="11" t="n">
        <v>-70.5094354</v>
      </c>
      <c r="O156" s="15" t="n">
        <v>416</v>
      </c>
      <c r="P156" s="18" t="n">
        <v>416</v>
      </c>
      <c r="Q156" s="17" t="s">
        <v>65</v>
      </c>
    </row>
    <row r="157" customFormat="false" ht="15" hidden="false" customHeight="true" outlineLevel="0" collapsed="false">
      <c r="A157" s="11" t="s">
        <v>304</v>
      </c>
      <c r="B157" s="11" t="s">
        <v>20</v>
      </c>
      <c r="C157" s="11" t="s">
        <v>155</v>
      </c>
      <c r="D157" s="11" t="s">
        <v>305</v>
      </c>
      <c r="E157" s="11" t="s">
        <v>76</v>
      </c>
      <c r="F157" s="11" t="s">
        <v>49</v>
      </c>
      <c r="G157" s="12" t="n">
        <v>215</v>
      </c>
      <c r="H157" s="12" t="n">
        <v>543</v>
      </c>
      <c r="I157" s="13" t="n">
        <f aca="false">IF(H157=0,"",G157/H157)</f>
        <v>0.395948434622468</v>
      </c>
      <c r="J157" s="14" t="n">
        <f aca="false">ROUND(H157*Resumen!$B$4,0)</f>
        <v>679</v>
      </c>
      <c r="K157" s="11" t="s">
        <v>11</v>
      </c>
      <c r="L157" s="14" t="n">
        <v>188</v>
      </c>
      <c r="M157" s="11" t="n">
        <v>-32.121361</v>
      </c>
      <c r="N157" s="11" t="n">
        <v>-71.5029128</v>
      </c>
      <c r="O157" s="15" t="n">
        <v>696</v>
      </c>
      <c r="P157" s="18" t="n">
        <v>696</v>
      </c>
      <c r="Q157" s="17" t="s">
        <v>65</v>
      </c>
    </row>
    <row r="158" customFormat="false" ht="15" hidden="false" customHeight="true" outlineLevel="0" collapsed="false">
      <c r="A158" s="11" t="s">
        <v>306</v>
      </c>
      <c r="B158" s="11" t="s">
        <v>20</v>
      </c>
      <c r="C158" s="11" t="s">
        <v>155</v>
      </c>
      <c r="D158" s="11" t="s">
        <v>307</v>
      </c>
      <c r="E158" s="11" t="s">
        <v>48</v>
      </c>
      <c r="F158" s="11" t="s">
        <v>49</v>
      </c>
      <c r="G158" s="12" t="n">
        <v>79</v>
      </c>
      <c r="H158" s="12" t="n">
        <v>416</v>
      </c>
      <c r="I158" s="13" t="n">
        <f aca="false">IF(H158=0,"",G158/H158)</f>
        <v>0.189903846153846</v>
      </c>
      <c r="J158" s="14" t="n">
        <f aca="false">ROUND(H158*Resumen!$B$4,0)</f>
        <v>520</v>
      </c>
      <c r="K158" s="11" t="s">
        <v>11</v>
      </c>
      <c r="L158" s="14" t="n">
        <v>82</v>
      </c>
      <c r="M158" s="11" t="n">
        <v>-33.3365184</v>
      </c>
      <c r="N158" s="11" t="n">
        <v>-71.4105513</v>
      </c>
      <c r="O158" s="15" t="n">
        <v>569</v>
      </c>
      <c r="P158" s="18" t="n">
        <v>569</v>
      </c>
      <c r="Q158" s="17" t="s">
        <v>65</v>
      </c>
    </row>
    <row r="159" customFormat="false" ht="15" hidden="false" customHeight="true" outlineLevel="0" collapsed="false">
      <c r="A159" s="11" t="s">
        <v>308</v>
      </c>
      <c r="B159" s="11" t="s">
        <v>20</v>
      </c>
      <c r="C159" s="11" t="s">
        <v>155</v>
      </c>
      <c r="D159" s="11" t="s">
        <v>309</v>
      </c>
      <c r="E159" s="11" t="s">
        <v>48</v>
      </c>
      <c r="F159" s="11" t="s">
        <v>49</v>
      </c>
      <c r="G159" s="12" t="n">
        <v>133</v>
      </c>
      <c r="H159" s="12" t="n">
        <v>455</v>
      </c>
      <c r="I159" s="13" t="n">
        <f aca="false">IF(H159=0,"",G159/H159)</f>
        <v>0.292307692307692</v>
      </c>
      <c r="J159" s="14" t="n">
        <f aca="false">ROUND(H159*Resumen!$B$4,0)</f>
        <v>569</v>
      </c>
      <c r="K159" s="11" t="s">
        <v>11</v>
      </c>
      <c r="L159" s="14" t="n">
        <v>143</v>
      </c>
      <c r="M159" s="11" t="n">
        <v>-32.9491941</v>
      </c>
      <c r="N159" s="11" t="n">
        <v>-71.4788598</v>
      </c>
      <c r="O159" s="15" t="n">
        <v>622</v>
      </c>
      <c r="P159" s="18" t="n">
        <v>622</v>
      </c>
      <c r="Q159" s="17" t="s">
        <v>65</v>
      </c>
    </row>
    <row r="160" customFormat="false" ht="15" hidden="false" customHeight="true" outlineLevel="0" collapsed="false">
      <c r="A160" s="11" t="s">
        <v>310</v>
      </c>
      <c r="B160" s="11" t="s">
        <v>20</v>
      </c>
      <c r="C160" s="11" t="s">
        <v>155</v>
      </c>
      <c r="D160" s="11" t="s">
        <v>311</v>
      </c>
      <c r="E160" s="11" t="s">
        <v>48</v>
      </c>
      <c r="F160" s="11" t="s">
        <v>49</v>
      </c>
      <c r="G160" s="12" t="n">
        <v>159</v>
      </c>
      <c r="H160" s="12" t="n">
        <v>504</v>
      </c>
      <c r="I160" s="13" t="n">
        <f aca="false">IF(H160=0,"",G160/H160)</f>
        <v>0.31547619047619</v>
      </c>
      <c r="J160" s="14" t="n">
        <f aca="false">ROUND(H160*Resumen!$B$4,0)</f>
        <v>630</v>
      </c>
      <c r="K160" s="11" t="s">
        <v>11</v>
      </c>
      <c r="L160" s="14" t="n">
        <v>156</v>
      </c>
      <c r="M160" s="11" t="n">
        <v>-32.5015545</v>
      </c>
      <c r="N160" s="11" t="n">
        <v>-71.4358573</v>
      </c>
      <c r="O160" s="15" t="n">
        <v>666</v>
      </c>
      <c r="P160" s="18" t="n">
        <v>666</v>
      </c>
      <c r="Q160" s="17" t="s">
        <v>65</v>
      </c>
    </row>
    <row r="161" customFormat="false" ht="15" hidden="false" customHeight="true" outlineLevel="0" collapsed="false">
      <c r="A161" s="11" t="s">
        <v>312</v>
      </c>
      <c r="B161" s="11" t="s">
        <v>20</v>
      </c>
      <c r="C161" s="11" t="s">
        <v>155</v>
      </c>
      <c r="D161" s="11" t="s">
        <v>313</v>
      </c>
      <c r="E161" s="11" t="s">
        <v>48</v>
      </c>
      <c r="F161" s="11" t="s">
        <v>49</v>
      </c>
      <c r="G161" s="12" t="n">
        <v>159</v>
      </c>
      <c r="H161" s="12" t="n">
        <v>497</v>
      </c>
      <c r="I161" s="13" t="n">
        <f aca="false">IF(H161=0,"",G161/H161)</f>
        <v>0.319919517102616</v>
      </c>
      <c r="J161" s="14" t="n">
        <f aca="false">ROUND(H161*Resumen!$B$4,0)</f>
        <v>621</v>
      </c>
      <c r="K161" s="11" t="s">
        <v>11</v>
      </c>
      <c r="L161" s="14" t="n">
        <v>127</v>
      </c>
      <c r="M161" s="11" t="n">
        <v>-32.5561346</v>
      </c>
      <c r="N161" s="11" t="n">
        <v>-71.4553679</v>
      </c>
      <c r="O161" s="15" t="n">
        <v>664</v>
      </c>
      <c r="P161" s="18" t="n">
        <v>664</v>
      </c>
      <c r="Q161" s="17" t="s">
        <v>65</v>
      </c>
    </row>
    <row r="162" customFormat="false" ht="15" hidden="false" customHeight="true" outlineLevel="0" collapsed="false">
      <c r="A162" s="11" t="s">
        <v>314</v>
      </c>
      <c r="B162" s="11" t="s">
        <v>20</v>
      </c>
      <c r="C162" s="11" t="s">
        <v>155</v>
      </c>
      <c r="D162" s="11" t="s">
        <v>315</v>
      </c>
      <c r="E162" s="11" t="s">
        <v>48</v>
      </c>
      <c r="F162" s="11" t="s">
        <v>49</v>
      </c>
      <c r="G162" s="12" t="n">
        <v>96</v>
      </c>
      <c r="H162" s="12" t="n">
        <v>481</v>
      </c>
      <c r="I162" s="13" t="n">
        <f aca="false">IF(H162=0,"",G162/H162)</f>
        <v>0.1995841995842</v>
      </c>
      <c r="J162" s="14" t="n">
        <f aca="false">ROUND(H162*Resumen!$B$4,0)</f>
        <v>601</v>
      </c>
      <c r="K162" s="11" t="s">
        <v>11</v>
      </c>
      <c r="L162" s="14" t="n">
        <v>99</v>
      </c>
      <c r="M162" s="11" t="n">
        <v>-32.7963317</v>
      </c>
      <c r="N162" s="11" t="n">
        <v>-71.1461411</v>
      </c>
      <c r="O162" s="15" t="n">
        <v>606</v>
      </c>
      <c r="P162" s="18" t="n">
        <v>606</v>
      </c>
      <c r="Q162" s="17" t="s">
        <v>65</v>
      </c>
    </row>
    <row r="163" customFormat="false" ht="15" hidden="false" customHeight="true" outlineLevel="0" collapsed="false">
      <c r="A163" s="11" t="s">
        <v>316</v>
      </c>
      <c r="B163" s="11" t="s">
        <v>20</v>
      </c>
      <c r="C163" s="11" t="s">
        <v>155</v>
      </c>
      <c r="D163" s="11" t="s">
        <v>317</v>
      </c>
      <c r="E163" s="11" t="s">
        <v>48</v>
      </c>
      <c r="F163" s="11" t="s">
        <v>49</v>
      </c>
      <c r="G163" s="12" t="n">
        <v>113</v>
      </c>
      <c r="H163" s="12" t="n">
        <v>512</v>
      </c>
      <c r="I163" s="13" t="n">
        <f aca="false">IF(H163=0,"",G163/H163)</f>
        <v>0.220703125</v>
      </c>
      <c r="J163" s="14" t="n">
        <f aca="false">ROUND(H163*Resumen!$B$4,0)</f>
        <v>640</v>
      </c>
      <c r="K163" s="11" t="s">
        <v>11</v>
      </c>
      <c r="L163" s="14" t="n">
        <v>88</v>
      </c>
      <c r="M163" s="11" t="n">
        <v>-32.6506649</v>
      </c>
      <c r="N163" s="11" t="n">
        <v>-70.7042671</v>
      </c>
      <c r="O163" s="15" t="n">
        <v>599</v>
      </c>
      <c r="P163" s="18" t="n">
        <v>599</v>
      </c>
      <c r="Q163" s="17" t="s">
        <v>65</v>
      </c>
    </row>
    <row r="164" customFormat="false" ht="15" hidden="false" customHeight="true" outlineLevel="0" collapsed="false">
      <c r="A164" s="11" t="s">
        <v>318</v>
      </c>
      <c r="B164" s="11" t="s">
        <v>20</v>
      </c>
      <c r="C164" s="11" t="s">
        <v>155</v>
      </c>
      <c r="D164" s="11" t="s">
        <v>319</v>
      </c>
      <c r="E164" s="11" t="s">
        <v>48</v>
      </c>
      <c r="F164" s="11" t="s">
        <v>49</v>
      </c>
      <c r="G164" s="12" t="n">
        <v>111</v>
      </c>
      <c r="H164" s="12" t="n">
        <v>489</v>
      </c>
      <c r="I164" s="13" t="n">
        <f aca="false">IF(H164=0,"",G164/H164)</f>
        <v>0.226993865030675</v>
      </c>
      <c r="J164" s="14" t="n">
        <f aca="false">ROUND(H164*Resumen!$B$4,0)</f>
        <v>611</v>
      </c>
      <c r="K164" s="11" t="s">
        <v>11</v>
      </c>
      <c r="L164" s="14" t="n">
        <v>104</v>
      </c>
      <c r="M164" s="11" t="n">
        <v>-32.7117101</v>
      </c>
      <c r="N164" s="11" t="n">
        <v>-71.1845356</v>
      </c>
      <c r="O164" s="15" t="n">
        <v>623</v>
      </c>
      <c r="P164" s="18" t="n">
        <v>623</v>
      </c>
      <c r="Q164" s="17" t="s">
        <v>65</v>
      </c>
    </row>
    <row r="165" customFormat="false" ht="15" hidden="false" customHeight="true" outlineLevel="0" collapsed="false">
      <c r="A165" s="11" t="s">
        <v>320</v>
      </c>
      <c r="B165" s="11" t="s">
        <v>20</v>
      </c>
      <c r="C165" s="11" t="s">
        <v>155</v>
      </c>
      <c r="D165" s="11" t="s">
        <v>321</v>
      </c>
      <c r="E165" s="11" t="s">
        <v>48</v>
      </c>
      <c r="F165" s="11" t="s">
        <v>49</v>
      </c>
      <c r="G165" s="12" t="n">
        <v>125</v>
      </c>
      <c r="H165" s="12" t="n">
        <v>384</v>
      </c>
      <c r="I165" s="13" t="n">
        <f aca="false">IF(H165=0,"",G165/H165)</f>
        <v>0.325520833333333</v>
      </c>
      <c r="J165" s="14" t="n">
        <f aca="false">ROUND(H165*Resumen!$B$4,0)</f>
        <v>480</v>
      </c>
      <c r="K165" s="11" t="s">
        <v>11</v>
      </c>
      <c r="L165" s="14" t="n">
        <v>120</v>
      </c>
      <c r="M165" s="11" t="n">
        <v>-33.5852695</v>
      </c>
      <c r="N165" s="11" t="n">
        <v>-71.6116811</v>
      </c>
      <c r="O165" s="15" t="n">
        <v>556</v>
      </c>
      <c r="P165" s="18" t="n">
        <v>556</v>
      </c>
      <c r="Q165" s="17" t="s">
        <v>65</v>
      </c>
    </row>
    <row r="166" customFormat="false" ht="15" hidden="false" customHeight="true" outlineLevel="0" collapsed="false">
      <c r="A166" s="11" t="s">
        <v>322</v>
      </c>
      <c r="B166" s="11" t="s">
        <v>20</v>
      </c>
      <c r="C166" s="11" t="s">
        <v>155</v>
      </c>
      <c r="D166" s="11" t="s">
        <v>323</v>
      </c>
      <c r="E166" s="11" t="s">
        <v>48</v>
      </c>
      <c r="F166" s="11" t="s">
        <v>49</v>
      </c>
      <c r="G166" s="12" t="n">
        <v>101</v>
      </c>
      <c r="H166" s="12" t="n">
        <v>494</v>
      </c>
      <c r="I166" s="13" t="n">
        <f aca="false">IF(H166=0,"",G166/H166)</f>
        <v>0.204453441295547</v>
      </c>
      <c r="J166" s="14" t="n">
        <f aca="false">ROUND(H166*Resumen!$B$4,0)</f>
        <v>618</v>
      </c>
      <c r="K166" s="11" t="s">
        <v>11</v>
      </c>
      <c r="L166" s="14" t="n">
        <v>95</v>
      </c>
      <c r="M166" s="11" t="n">
        <v>-32.7338852</v>
      </c>
      <c r="N166" s="11" t="n">
        <v>-70.9643939</v>
      </c>
      <c r="O166" s="15" t="n">
        <v>602</v>
      </c>
      <c r="P166" s="18" t="n">
        <v>602</v>
      </c>
      <c r="Q166" s="17" t="s">
        <v>65</v>
      </c>
    </row>
    <row r="167" customFormat="false" ht="15" hidden="false" customHeight="true" outlineLevel="0" collapsed="false">
      <c r="A167" s="11" t="s">
        <v>324</v>
      </c>
      <c r="B167" s="11" t="s">
        <v>20</v>
      </c>
      <c r="C167" s="11" t="s">
        <v>155</v>
      </c>
      <c r="D167" s="11" t="s">
        <v>325</v>
      </c>
      <c r="E167" s="11" t="s">
        <v>64</v>
      </c>
      <c r="F167" s="11" t="s">
        <v>49</v>
      </c>
      <c r="G167" s="12" t="n">
        <v>26</v>
      </c>
      <c r="H167" s="12" t="n">
        <v>428</v>
      </c>
      <c r="I167" s="13" t="n">
        <f aca="false">IF(H167=0,"",G167/H167)</f>
        <v>0.0607476635514019</v>
      </c>
      <c r="J167" s="14" t="n">
        <f aca="false">ROUND(H167*Resumen!$B$4,0)</f>
        <v>535</v>
      </c>
      <c r="K167" s="11" t="s">
        <v>11</v>
      </c>
      <c r="L167" s="14" t="n">
        <v>32</v>
      </c>
      <c r="M167" s="11" t="n">
        <v>-33.5411298</v>
      </c>
      <c r="N167" s="11" t="n">
        <v>-70.616047</v>
      </c>
      <c r="O167" s="15" t="n">
        <v>496</v>
      </c>
      <c r="P167" s="18" t="n">
        <v>496</v>
      </c>
      <c r="Q167" s="17" t="s">
        <v>65</v>
      </c>
    </row>
    <row r="168" customFormat="false" ht="15" hidden="false" customHeight="true" outlineLevel="0" collapsed="false">
      <c r="A168" s="11" t="s">
        <v>326</v>
      </c>
      <c r="B168" s="11" t="s">
        <v>20</v>
      </c>
      <c r="C168" s="11" t="s">
        <v>155</v>
      </c>
      <c r="D168" s="11" t="s">
        <v>284</v>
      </c>
      <c r="E168" s="11" t="s">
        <v>64</v>
      </c>
      <c r="F168" s="11" t="s">
        <v>49</v>
      </c>
      <c r="G168" s="12" t="n">
        <v>17</v>
      </c>
      <c r="H168" s="12" t="n">
        <v>443</v>
      </c>
      <c r="I168" s="13" t="n">
        <f aca="false">IF(H168=0,"",G168/H168)</f>
        <v>0.0383747178329571</v>
      </c>
      <c r="J168" s="14" t="n">
        <f aca="false">ROUND(H168*Resumen!$B$4,0)</f>
        <v>554</v>
      </c>
      <c r="K168" s="11" t="s">
        <v>11</v>
      </c>
      <c r="L168" s="14" t="n">
        <v>25</v>
      </c>
      <c r="M168" s="11" t="n">
        <v>-33.4054866</v>
      </c>
      <c r="N168" s="11" t="n">
        <v>-70.5743833</v>
      </c>
      <c r="O168" s="15" t="n">
        <v>512</v>
      </c>
      <c r="P168" s="18" t="n">
        <v>512</v>
      </c>
      <c r="Q168" s="17" t="s">
        <v>65</v>
      </c>
    </row>
    <row r="169" customFormat="false" ht="15" hidden="false" customHeight="true" outlineLevel="0" collapsed="false">
      <c r="A169" s="11" t="s">
        <v>327</v>
      </c>
      <c r="B169" s="11" t="s">
        <v>20</v>
      </c>
      <c r="C169" s="11" t="s">
        <v>155</v>
      </c>
      <c r="D169" s="11" t="s">
        <v>286</v>
      </c>
      <c r="E169" s="11" t="s">
        <v>64</v>
      </c>
      <c r="F169" s="11" t="s">
        <v>49</v>
      </c>
      <c r="G169" s="12" t="n">
        <v>23</v>
      </c>
      <c r="H169" s="12" t="n">
        <v>451</v>
      </c>
      <c r="I169" s="13" t="n">
        <f aca="false">IF(H169=0,"",G169/H169)</f>
        <v>0.0509977827050998</v>
      </c>
      <c r="J169" s="14" t="n">
        <f aca="false">ROUND(H169*Resumen!$B$4,0)</f>
        <v>564</v>
      </c>
      <c r="K169" s="11" t="s">
        <v>11</v>
      </c>
      <c r="L169" s="14" t="n">
        <v>37</v>
      </c>
      <c r="M169" s="11" t="n">
        <v>-33.3528337</v>
      </c>
      <c r="N169" s="11" t="n">
        <v>-70.5185636</v>
      </c>
      <c r="O169" s="15" t="n">
        <v>522</v>
      </c>
      <c r="P169" s="18" t="n">
        <v>522</v>
      </c>
      <c r="Q169" s="17" t="s">
        <v>65</v>
      </c>
    </row>
    <row r="170" customFormat="false" ht="15" hidden="false" customHeight="true" outlineLevel="0" collapsed="false">
      <c r="A170" s="11" t="s">
        <v>328</v>
      </c>
      <c r="B170" s="11" t="s">
        <v>20</v>
      </c>
      <c r="C170" s="11" t="s">
        <v>155</v>
      </c>
      <c r="D170" s="11" t="s">
        <v>290</v>
      </c>
      <c r="E170" s="11" t="s">
        <v>64</v>
      </c>
      <c r="F170" s="11" t="s">
        <v>49</v>
      </c>
      <c r="G170" s="12" t="n">
        <v>56</v>
      </c>
      <c r="H170" s="12" t="n">
        <v>410</v>
      </c>
      <c r="I170" s="13" t="n">
        <f aca="false">IF(H170=0,"",G170/H170)</f>
        <v>0.136585365853659</v>
      </c>
      <c r="J170" s="14" t="n">
        <f aca="false">ROUND(H170*Resumen!$B$4,0)</f>
        <v>513</v>
      </c>
      <c r="K170" s="11" t="s">
        <v>11</v>
      </c>
      <c r="L170" s="14"/>
      <c r="M170" s="11" t="n">
        <v>-33.5135304</v>
      </c>
      <c r="N170" s="11" t="n">
        <v>-71.0978672</v>
      </c>
      <c r="O170" s="15" t="n">
        <v>546</v>
      </c>
      <c r="P170" s="18" t="n">
        <v>546</v>
      </c>
      <c r="Q170" s="17" t="s">
        <v>65</v>
      </c>
    </row>
    <row r="171" customFormat="false" ht="15" hidden="false" customHeight="true" outlineLevel="0" collapsed="false">
      <c r="A171" s="11" t="s">
        <v>329</v>
      </c>
      <c r="B171" s="11" t="s">
        <v>20</v>
      </c>
      <c r="C171" s="11" t="s">
        <v>155</v>
      </c>
      <c r="D171" s="11" t="s">
        <v>292</v>
      </c>
      <c r="E171" s="11" t="s">
        <v>64</v>
      </c>
      <c r="F171" s="11" t="s">
        <v>49</v>
      </c>
      <c r="G171" s="12" t="n">
        <v>68</v>
      </c>
      <c r="H171" s="12" t="n">
        <v>398</v>
      </c>
      <c r="I171" s="13" t="n">
        <f aca="false">IF(H171=0,"",G171/H171)</f>
        <v>0.170854271356784</v>
      </c>
      <c r="J171" s="14" t="n">
        <f aca="false">ROUND(H171*Resumen!$B$4,0)</f>
        <v>498</v>
      </c>
      <c r="K171" s="11" t="s">
        <v>11</v>
      </c>
      <c r="L171" s="14" t="n">
        <v>60</v>
      </c>
      <c r="M171" s="11" t="n">
        <v>-33.6783192</v>
      </c>
      <c r="N171" s="11" t="n">
        <v>-70.9782465</v>
      </c>
      <c r="O171" s="15" t="n">
        <v>492</v>
      </c>
      <c r="P171" s="18" t="n">
        <v>492</v>
      </c>
      <c r="Q171" s="17" t="s">
        <v>65</v>
      </c>
    </row>
    <row r="172" customFormat="false" ht="15" hidden="false" customHeight="true" outlineLevel="0" collapsed="false">
      <c r="A172" s="11" t="s">
        <v>330</v>
      </c>
      <c r="B172" s="11" t="s">
        <v>20</v>
      </c>
      <c r="C172" s="11" t="s">
        <v>155</v>
      </c>
      <c r="D172" s="11" t="s">
        <v>294</v>
      </c>
      <c r="E172" s="11" t="s">
        <v>64</v>
      </c>
      <c r="F172" s="11" t="s">
        <v>49</v>
      </c>
      <c r="G172" s="12" t="n">
        <v>59</v>
      </c>
      <c r="H172" s="12" t="n">
        <v>395</v>
      </c>
      <c r="I172" s="13" t="n">
        <f aca="false">IF(H172=0,"",G172/H172)</f>
        <v>0.149367088607595</v>
      </c>
      <c r="J172" s="14" t="n">
        <f aca="false">ROUND(H172*Resumen!$B$4,0)</f>
        <v>494</v>
      </c>
      <c r="K172" s="11" t="s">
        <v>11</v>
      </c>
      <c r="L172" s="14" t="n">
        <v>63</v>
      </c>
      <c r="M172" s="11" t="n">
        <v>-33.7496846</v>
      </c>
      <c r="N172" s="11" t="n">
        <v>-70.9007513</v>
      </c>
      <c r="O172" s="15" t="n">
        <v>477</v>
      </c>
      <c r="P172" s="18" t="n">
        <v>477</v>
      </c>
      <c r="Q172" s="17" t="s">
        <v>65</v>
      </c>
    </row>
    <row r="173" customFormat="false" ht="15" hidden="false" customHeight="true" outlineLevel="0" collapsed="false">
      <c r="A173" s="11" t="s">
        <v>331</v>
      </c>
      <c r="B173" s="11" t="s">
        <v>20</v>
      </c>
      <c r="C173" s="11" t="s">
        <v>155</v>
      </c>
      <c r="D173" s="11" t="s">
        <v>332</v>
      </c>
      <c r="E173" s="11" t="s">
        <v>112</v>
      </c>
      <c r="F173" s="11" t="s">
        <v>49</v>
      </c>
      <c r="G173" s="12" t="n">
        <v>119</v>
      </c>
      <c r="H173" s="12" t="n">
        <v>342</v>
      </c>
      <c r="I173" s="13" t="n">
        <f aca="false">IF(H173=0,"",G173/H173)</f>
        <v>0.347953216374269</v>
      </c>
      <c r="J173" s="14" t="n">
        <f aca="false">ROUND(H173*Resumen!$B$4,0)</f>
        <v>428</v>
      </c>
      <c r="K173" s="11" t="s">
        <v>11</v>
      </c>
      <c r="L173" s="14" t="n">
        <v>122</v>
      </c>
      <c r="M173" s="11" t="n">
        <v>-34.2541382</v>
      </c>
      <c r="N173" s="11" t="n">
        <v>-70.9912428</v>
      </c>
      <c r="O173" s="15" t="n">
        <v>434</v>
      </c>
      <c r="P173" s="18" t="n">
        <v>434</v>
      </c>
      <c r="Q173" s="17" t="s">
        <v>65</v>
      </c>
    </row>
    <row r="174" customFormat="false" ht="15" hidden="false" customHeight="true" outlineLevel="0" collapsed="false">
      <c r="A174" s="11" t="s">
        <v>333</v>
      </c>
      <c r="B174" s="11" t="s">
        <v>20</v>
      </c>
      <c r="C174" s="11" t="s">
        <v>155</v>
      </c>
      <c r="D174" s="11" t="s">
        <v>334</v>
      </c>
      <c r="E174" s="11" t="s">
        <v>112</v>
      </c>
      <c r="F174" s="11" t="s">
        <v>49</v>
      </c>
      <c r="G174" s="12" t="n">
        <v>155</v>
      </c>
      <c r="H174" s="12" t="n">
        <v>325</v>
      </c>
      <c r="I174" s="13" t="n">
        <f aca="false">IF(H174=0,"",G174/H174)</f>
        <v>0.476923076923077</v>
      </c>
      <c r="J174" s="14" t="n">
        <f aca="false">ROUND(H174*Resumen!$B$4,0)</f>
        <v>406</v>
      </c>
      <c r="K174" s="11" t="s">
        <v>11</v>
      </c>
      <c r="L174" s="14" t="n">
        <v>168</v>
      </c>
      <c r="M174" s="11" t="n">
        <v>-34.1207603</v>
      </c>
      <c r="N174" s="11" t="n">
        <v>-71.7280647</v>
      </c>
      <c r="O174" s="15" t="n">
        <v>442</v>
      </c>
      <c r="P174" s="18" t="n">
        <v>442</v>
      </c>
      <c r="Q174" s="17" t="s">
        <v>65</v>
      </c>
    </row>
    <row r="175" customFormat="false" ht="15" hidden="false" customHeight="true" outlineLevel="0" collapsed="false">
      <c r="A175" s="11" t="s">
        <v>335</v>
      </c>
      <c r="B175" s="11" t="s">
        <v>21</v>
      </c>
      <c r="C175" s="11" t="s">
        <v>46</v>
      </c>
      <c r="D175" s="11" t="s">
        <v>336</v>
      </c>
      <c r="E175" s="11" t="s">
        <v>76</v>
      </c>
      <c r="F175" s="11" t="s">
        <v>55</v>
      </c>
      <c r="G175" s="12" t="n">
        <v>20</v>
      </c>
      <c r="H175" s="12" t="n">
        <v>74</v>
      </c>
      <c r="I175" s="13" t="n">
        <f aca="false">IF(H175=0,"",G175/H175)</f>
        <v>0.27027027027027</v>
      </c>
      <c r="J175" s="14" t="n">
        <f aca="false">ROUND(H175*Resumen!$B$4,0)</f>
        <v>93</v>
      </c>
      <c r="K175" s="11" t="s">
        <v>11</v>
      </c>
      <c r="L175" s="14" t="n">
        <v>451</v>
      </c>
      <c r="M175" s="11" t="n">
        <v>-29.9531851</v>
      </c>
      <c r="N175" s="11" t="n">
        <v>-71.3379503</v>
      </c>
      <c r="O175" s="15" t="n">
        <v>86</v>
      </c>
      <c r="P175" s="18" t="n">
        <v>86</v>
      </c>
      <c r="Q175" s="17" t="s">
        <v>65</v>
      </c>
    </row>
    <row r="176" customFormat="false" ht="15" hidden="false" customHeight="true" outlineLevel="0" collapsed="false">
      <c r="A176" s="11" t="s">
        <v>337</v>
      </c>
      <c r="B176" s="11" t="s">
        <v>21</v>
      </c>
      <c r="C176" s="11" t="s">
        <v>46</v>
      </c>
      <c r="D176" s="11" t="s">
        <v>338</v>
      </c>
      <c r="E176" s="11" t="s">
        <v>76</v>
      </c>
      <c r="F176" s="11" t="s">
        <v>55</v>
      </c>
      <c r="G176" s="12" t="n">
        <v>69</v>
      </c>
      <c r="H176" s="12" t="n">
        <v>166</v>
      </c>
      <c r="I176" s="13" t="n">
        <f aca="false">IF(H176=0,"",G176/H176)</f>
        <v>0.41566265060241</v>
      </c>
      <c r="J176" s="14" t="n">
        <f aca="false">ROUND(H176*Resumen!$B$4,0)</f>
        <v>208</v>
      </c>
      <c r="K176" s="11" t="s">
        <v>11</v>
      </c>
      <c r="L176" s="14" t="n">
        <v>631</v>
      </c>
      <c r="M176" s="11" t="n">
        <v>-29.2426907</v>
      </c>
      <c r="N176" s="11" t="n">
        <v>-70.4825543</v>
      </c>
      <c r="O176" s="15" t="n">
        <v>261</v>
      </c>
      <c r="P176" s="18" t="n">
        <v>261</v>
      </c>
      <c r="Q176" s="17" t="s">
        <v>65</v>
      </c>
    </row>
    <row r="177" customFormat="false" ht="15" hidden="false" customHeight="true" outlineLevel="0" collapsed="false">
      <c r="A177" s="11" t="s">
        <v>339</v>
      </c>
      <c r="B177" s="11" t="s">
        <v>21</v>
      </c>
      <c r="C177" s="11" t="s">
        <v>46</v>
      </c>
      <c r="D177" s="11" t="s">
        <v>340</v>
      </c>
      <c r="E177" s="11" t="s">
        <v>76</v>
      </c>
      <c r="F177" s="11" t="s">
        <v>55</v>
      </c>
      <c r="G177" s="12" t="n">
        <v>20</v>
      </c>
      <c r="H177" s="12" t="n">
        <v>79</v>
      </c>
      <c r="I177" s="13" t="n">
        <f aca="false">IF(H177=0,"",G177/H177)</f>
        <v>0.253164556962025</v>
      </c>
      <c r="J177" s="14" t="n">
        <f aca="false">ROUND(H177*Resumen!$B$4,0)</f>
        <v>99</v>
      </c>
      <c r="K177" s="11" t="s">
        <v>11</v>
      </c>
      <c r="L177" s="14" t="n">
        <v>464</v>
      </c>
      <c r="M177" s="11" t="n">
        <v>-29.9017758</v>
      </c>
      <c r="N177" s="11" t="n">
        <v>-71.2569116</v>
      </c>
      <c r="O177" s="15" t="n">
        <v>94</v>
      </c>
      <c r="P177" s="18" t="n">
        <v>94</v>
      </c>
      <c r="Q177" s="17" t="s">
        <v>65</v>
      </c>
    </row>
    <row r="178" customFormat="false" ht="15" hidden="false" customHeight="true" outlineLevel="0" collapsed="false">
      <c r="A178" s="11" t="s">
        <v>341</v>
      </c>
      <c r="B178" s="11" t="s">
        <v>21</v>
      </c>
      <c r="C178" s="11" t="s">
        <v>46</v>
      </c>
      <c r="D178" s="11" t="s">
        <v>342</v>
      </c>
      <c r="E178" s="11" t="s">
        <v>48</v>
      </c>
      <c r="F178" s="11" t="s">
        <v>49</v>
      </c>
      <c r="G178" s="12" t="n">
        <v>89</v>
      </c>
      <c r="H178" s="12" t="n">
        <v>222</v>
      </c>
      <c r="I178" s="13" t="n">
        <f aca="false">IF(H178=0,"",G178/H178)</f>
        <v>0.400900900900901</v>
      </c>
      <c r="J178" s="14" t="n">
        <f aca="false">ROUND(H178*Resumen!$B$4,0)</f>
        <v>278</v>
      </c>
      <c r="K178" s="11" t="s">
        <v>11</v>
      </c>
      <c r="L178" s="14" t="n">
        <v>99</v>
      </c>
      <c r="M178" s="11" t="n">
        <v>-32.5579546</v>
      </c>
      <c r="N178" s="11" t="n">
        <v>-70.6820762</v>
      </c>
      <c r="O178" s="15" t="n">
        <v>344</v>
      </c>
      <c r="P178" s="18" t="n">
        <v>344</v>
      </c>
      <c r="Q178" s="17" t="s">
        <v>65</v>
      </c>
    </row>
    <row r="179" customFormat="false" ht="15" hidden="false" customHeight="true" outlineLevel="0" collapsed="false">
      <c r="A179" s="11" t="s">
        <v>343</v>
      </c>
      <c r="B179" s="11" t="s">
        <v>21</v>
      </c>
      <c r="C179" s="11" t="s">
        <v>46</v>
      </c>
      <c r="D179" s="11" t="s">
        <v>298</v>
      </c>
      <c r="E179" s="11" t="s">
        <v>64</v>
      </c>
      <c r="F179" s="11" t="s">
        <v>49</v>
      </c>
      <c r="G179" s="12" t="n">
        <v>27</v>
      </c>
      <c r="H179" s="12" t="n">
        <v>331</v>
      </c>
      <c r="I179" s="13" t="n">
        <f aca="false">IF(H179=0,"",G179/H179)</f>
        <v>0.081570996978852</v>
      </c>
      <c r="J179" s="14" t="n">
        <f aca="false">ROUND(H179*Resumen!$B$4,0)</f>
        <v>414</v>
      </c>
      <c r="K179" s="11" t="s">
        <v>11</v>
      </c>
      <c r="L179" s="14" t="n">
        <v>35</v>
      </c>
      <c r="M179" s="11" t="n">
        <v>-33.5416155</v>
      </c>
      <c r="N179" s="11" t="n">
        <v>-70.5712122</v>
      </c>
      <c r="O179" s="15" t="n">
        <v>427</v>
      </c>
      <c r="P179" s="18" t="n">
        <v>427</v>
      </c>
      <c r="Q179" s="17" t="s">
        <v>65</v>
      </c>
    </row>
    <row r="180" customFormat="false" ht="15" hidden="false" customHeight="true" outlineLevel="0" collapsed="false">
      <c r="A180" s="11" t="s">
        <v>344</v>
      </c>
      <c r="B180" s="11" t="s">
        <v>21</v>
      </c>
      <c r="C180" s="11" t="s">
        <v>46</v>
      </c>
      <c r="D180" s="11" t="s">
        <v>325</v>
      </c>
      <c r="E180" s="11" t="s">
        <v>64</v>
      </c>
      <c r="F180" s="11" t="s">
        <v>49</v>
      </c>
      <c r="G180" s="12" t="n">
        <v>26</v>
      </c>
      <c r="H180" s="12" t="n">
        <v>331</v>
      </c>
      <c r="I180" s="13" t="n">
        <f aca="false">IF(H180=0,"",G180/H180)</f>
        <v>0.0785498489425982</v>
      </c>
      <c r="J180" s="14" t="n">
        <f aca="false">ROUND(H180*Resumen!$B$4,0)</f>
        <v>414</v>
      </c>
      <c r="K180" s="11" t="s">
        <v>11</v>
      </c>
      <c r="L180" s="14" t="n">
        <v>32</v>
      </c>
      <c r="M180" s="11" t="n">
        <v>-33.5411298</v>
      </c>
      <c r="N180" s="11" t="n">
        <v>-70.616047</v>
      </c>
      <c r="O180" s="15" t="n">
        <v>424</v>
      </c>
      <c r="P180" s="18" t="n">
        <v>424</v>
      </c>
      <c r="Q180" s="17" t="s">
        <v>65</v>
      </c>
    </row>
    <row r="181" customFormat="false" ht="15" hidden="false" customHeight="true" outlineLevel="0" collapsed="false">
      <c r="A181" s="11" t="s">
        <v>345</v>
      </c>
      <c r="B181" s="11" t="s">
        <v>21</v>
      </c>
      <c r="C181" s="11" t="s">
        <v>46</v>
      </c>
      <c r="D181" s="11" t="s">
        <v>290</v>
      </c>
      <c r="E181" s="11" t="s">
        <v>64</v>
      </c>
      <c r="F181" s="11" t="s">
        <v>49</v>
      </c>
      <c r="G181" s="12" t="n">
        <v>56</v>
      </c>
      <c r="H181" s="12" t="n">
        <v>323</v>
      </c>
      <c r="I181" s="13" t="n">
        <f aca="false">IF(H181=0,"",G181/H181)</f>
        <v>0.173374613003096</v>
      </c>
      <c r="J181" s="14" t="n">
        <f aca="false">ROUND(H181*Resumen!$B$4,0)</f>
        <v>404</v>
      </c>
      <c r="K181" s="11" t="s">
        <v>11</v>
      </c>
      <c r="L181" s="14"/>
      <c r="M181" s="11" t="n">
        <v>-33.5135304</v>
      </c>
      <c r="N181" s="11" t="n">
        <v>-71.0978672</v>
      </c>
      <c r="O181" s="15" t="n">
        <v>427</v>
      </c>
      <c r="P181" s="18" t="n">
        <v>427</v>
      </c>
      <c r="Q181" s="17" t="s">
        <v>65</v>
      </c>
    </row>
    <row r="182" customFormat="false" ht="15" hidden="false" customHeight="true" outlineLevel="0" collapsed="false">
      <c r="A182" s="11" t="s">
        <v>346</v>
      </c>
      <c r="B182" s="11" t="s">
        <v>21</v>
      </c>
      <c r="C182" s="11" t="s">
        <v>46</v>
      </c>
      <c r="D182" s="11" t="s">
        <v>347</v>
      </c>
      <c r="E182" s="11" t="s">
        <v>48</v>
      </c>
      <c r="F182" s="11" t="s">
        <v>49</v>
      </c>
      <c r="G182" s="12" t="n">
        <v>65</v>
      </c>
      <c r="H182" s="12" t="n">
        <v>254</v>
      </c>
      <c r="I182" s="13" t="n">
        <f aca="false">IF(H182=0,"",G182/H182)</f>
        <v>0.255905511811024</v>
      </c>
      <c r="J182" s="14" t="n">
        <f aca="false">ROUND(H182*Resumen!$B$4,0)</f>
        <v>318</v>
      </c>
      <c r="K182" s="11" t="s">
        <v>11</v>
      </c>
      <c r="L182" s="14" t="n">
        <v>62</v>
      </c>
      <c r="M182" s="11" t="n">
        <v>-32.8498879</v>
      </c>
      <c r="N182" s="11" t="n">
        <v>-70.6873617</v>
      </c>
      <c r="O182" s="15" t="n">
        <v>361</v>
      </c>
      <c r="P182" s="18" t="n">
        <v>361</v>
      </c>
      <c r="Q182" s="17" t="s">
        <v>65</v>
      </c>
    </row>
    <row r="183" customFormat="false" ht="15" hidden="false" customHeight="true" outlineLevel="0" collapsed="false">
      <c r="A183" s="11" t="s">
        <v>348</v>
      </c>
      <c r="B183" s="11" t="s">
        <v>21</v>
      </c>
      <c r="C183" s="11" t="s">
        <v>46</v>
      </c>
      <c r="D183" s="11" t="s">
        <v>321</v>
      </c>
      <c r="E183" s="11" t="s">
        <v>48</v>
      </c>
      <c r="F183" s="11" t="s">
        <v>49</v>
      </c>
      <c r="G183" s="12" t="n">
        <v>124</v>
      </c>
      <c r="H183" s="12" t="n">
        <v>333</v>
      </c>
      <c r="I183" s="13" t="n">
        <f aca="false">IF(H183=0,"",G183/H183)</f>
        <v>0.372372372372372</v>
      </c>
      <c r="J183" s="14" t="n">
        <f aca="false">ROUND(H183*Resumen!$B$4,0)</f>
        <v>416</v>
      </c>
      <c r="K183" s="11" t="s">
        <v>11</v>
      </c>
      <c r="L183" s="14" t="n">
        <v>120</v>
      </c>
      <c r="M183" s="11" t="n">
        <v>-33.5852695</v>
      </c>
      <c r="N183" s="11" t="n">
        <v>-71.6116811</v>
      </c>
      <c r="O183" s="15" t="n">
        <v>422</v>
      </c>
      <c r="P183" s="18" t="n">
        <v>422</v>
      </c>
      <c r="Q183" s="17" t="s">
        <v>65</v>
      </c>
    </row>
    <row r="184" customFormat="false" ht="15" hidden="false" customHeight="true" outlineLevel="0" collapsed="false">
      <c r="A184" s="11" t="s">
        <v>349</v>
      </c>
      <c r="B184" s="11" t="s">
        <v>22</v>
      </c>
      <c r="C184" s="11" t="s">
        <v>54</v>
      </c>
      <c r="D184" s="11" t="s">
        <v>317</v>
      </c>
      <c r="E184" s="11" t="s">
        <v>48</v>
      </c>
      <c r="F184" s="11" t="s">
        <v>55</v>
      </c>
      <c r="G184" s="12" t="n">
        <v>7</v>
      </c>
      <c r="H184" s="12" t="n">
        <v>48</v>
      </c>
      <c r="I184" s="13" t="n">
        <f aca="false">IF(H184=0,"",G184/H184)</f>
        <v>0.145833333333333</v>
      </c>
      <c r="J184" s="14" t="n">
        <f aca="false">ROUND(H184*Resumen!$B$4,0)</f>
        <v>60</v>
      </c>
      <c r="K184" s="11" t="s">
        <v>11</v>
      </c>
      <c r="L184" s="14" t="n">
        <v>88</v>
      </c>
      <c r="M184" s="11" t="n">
        <v>-32.6506649</v>
      </c>
      <c r="N184" s="11" t="n">
        <v>-70.7042671</v>
      </c>
      <c r="O184" s="15" t="n">
        <v>75</v>
      </c>
      <c r="P184" s="18" t="n">
        <v>75</v>
      </c>
      <c r="Q184" s="17" t="s">
        <v>65</v>
      </c>
    </row>
    <row r="185" customFormat="false" ht="15" hidden="false" customHeight="true" outlineLevel="0" collapsed="false">
      <c r="A185" s="11" t="s">
        <v>350</v>
      </c>
      <c r="B185" s="11" t="s">
        <v>24</v>
      </c>
      <c r="C185" s="11" t="s">
        <v>62</v>
      </c>
      <c r="D185" s="11" t="s">
        <v>347</v>
      </c>
      <c r="E185" s="11" t="s">
        <v>48</v>
      </c>
      <c r="F185" s="11" t="s">
        <v>49</v>
      </c>
      <c r="G185" s="12" t="n">
        <v>65</v>
      </c>
      <c r="H185" s="12" t="n">
        <v>149</v>
      </c>
      <c r="I185" s="13" t="n">
        <f aca="false">IF(H185=0,"",G185/H185)</f>
        <v>0.436241610738255</v>
      </c>
      <c r="J185" s="14" t="n">
        <f aca="false">ROUND(H185*Resumen!$B$4,0)</f>
        <v>186</v>
      </c>
      <c r="K185" s="11" t="s">
        <v>11</v>
      </c>
      <c r="L185" s="14" t="n">
        <v>62</v>
      </c>
      <c r="M185" s="11" t="n">
        <v>-32.8498879</v>
      </c>
      <c r="N185" s="11" t="n">
        <v>-70.6873617</v>
      </c>
      <c r="O185" s="15" t="n">
        <v>159</v>
      </c>
      <c r="P185" s="18" t="n">
        <v>159</v>
      </c>
      <c r="Q185" s="17" t="s">
        <v>65</v>
      </c>
    </row>
    <row r="186" customFormat="false" ht="15" hidden="false" customHeight="true" outlineLevel="0" collapsed="false">
      <c r="A186" s="11" t="s">
        <v>351</v>
      </c>
      <c r="B186" s="11" t="s">
        <v>24</v>
      </c>
      <c r="C186" s="11" t="s">
        <v>62</v>
      </c>
      <c r="D186" s="11" t="s">
        <v>352</v>
      </c>
      <c r="E186" s="11" t="s">
        <v>48</v>
      </c>
      <c r="F186" s="11" t="s">
        <v>49</v>
      </c>
      <c r="G186" s="12" t="n">
        <v>74</v>
      </c>
      <c r="H186" s="12" t="n">
        <v>155</v>
      </c>
      <c r="I186" s="13" t="n">
        <f aca="false">IF(H186=0,"",G186/H186)</f>
        <v>0.47741935483871</v>
      </c>
      <c r="J186" s="14" t="n">
        <f aca="false">ROUND(H186*Resumen!$B$4,0)</f>
        <v>194</v>
      </c>
      <c r="K186" s="11" t="s">
        <v>11</v>
      </c>
      <c r="L186" s="14" t="n">
        <v>70</v>
      </c>
      <c r="M186" s="11" t="n">
        <v>-32.7997864</v>
      </c>
      <c r="N186" s="11" t="n">
        <v>-70.5798381</v>
      </c>
      <c r="O186" s="15" t="n">
        <v>168</v>
      </c>
      <c r="P186" s="18" t="n">
        <v>168</v>
      </c>
      <c r="Q186" s="17" t="s">
        <v>65</v>
      </c>
    </row>
    <row r="187" customFormat="false" ht="15" hidden="false" customHeight="true" outlineLevel="0" collapsed="false">
      <c r="A187" s="11" t="s">
        <v>353</v>
      </c>
      <c r="B187" s="11" t="s">
        <v>24</v>
      </c>
      <c r="C187" s="11" t="s">
        <v>62</v>
      </c>
      <c r="D187" s="11" t="s">
        <v>342</v>
      </c>
      <c r="E187" s="11" t="s">
        <v>48</v>
      </c>
      <c r="F187" s="11" t="s">
        <v>49</v>
      </c>
      <c r="G187" s="12" t="n">
        <v>89</v>
      </c>
      <c r="H187" s="12" t="n">
        <v>181</v>
      </c>
      <c r="I187" s="13" t="n">
        <f aca="false">IF(H187=0,"",G187/H187)</f>
        <v>0.49171270718232</v>
      </c>
      <c r="J187" s="14" t="n">
        <f aca="false">ROUND(H187*Resumen!$B$4,0)</f>
        <v>226</v>
      </c>
      <c r="K187" s="11" t="s">
        <v>11</v>
      </c>
      <c r="L187" s="14" t="n">
        <v>99</v>
      </c>
      <c r="M187" s="11" t="n">
        <v>-32.5579546</v>
      </c>
      <c r="N187" s="11" t="n">
        <v>-70.6820762</v>
      </c>
      <c r="O187" s="15" t="n">
        <v>197</v>
      </c>
      <c r="P187" s="18" t="n">
        <v>197</v>
      </c>
      <c r="Q187" s="17" t="s">
        <v>65</v>
      </c>
    </row>
    <row r="188" customFormat="false" ht="15" hidden="false" customHeight="true" outlineLevel="0" collapsed="false">
      <c r="A188" s="11" t="s">
        <v>354</v>
      </c>
      <c r="B188" s="11" t="s">
        <v>24</v>
      </c>
      <c r="C188" s="11" t="s">
        <v>62</v>
      </c>
      <c r="D188" s="11" t="s">
        <v>355</v>
      </c>
      <c r="E188" s="11" t="s">
        <v>48</v>
      </c>
      <c r="F188" s="11" t="s">
        <v>49</v>
      </c>
      <c r="G188" s="12" t="n">
        <v>79</v>
      </c>
      <c r="H188" s="12" t="n">
        <v>170</v>
      </c>
      <c r="I188" s="13" t="n">
        <f aca="false">IF(H188=0,"",G188/H188)</f>
        <v>0.464705882352941</v>
      </c>
      <c r="J188" s="14" t="n">
        <f aca="false">ROUND(H188*Resumen!$B$4,0)</f>
        <v>213</v>
      </c>
      <c r="K188" s="11" t="s">
        <v>11</v>
      </c>
      <c r="L188" s="14" t="n">
        <v>91</v>
      </c>
      <c r="M188" s="11" t="n">
        <v>-32.6626372</v>
      </c>
      <c r="N188" s="11" t="n">
        <v>-70.6192058</v>
      </c>
      <c r="O188" s="15" t="n">
        <v>188</v>
      </c>
      <c r="P188" s="18" t="n">
        <v>188</v>
      </c>
      <c r="Q188" s="17" t="s">
        <v>65</v>
      </c>
    </row>
    <row r="189" customFormat="false" ht="15" hidden="false" customHeight="true" outlineLevel="0" collapsed="false">
      <c r="A189" s="11" t="s">
        <v>356</v>
      </c>
      <c r="B189" s="11" t="s">
        <v>26</v>
      </c>
      <c r="C189" s="11" t="s">
        <v>69</v>
      </c>
      <c r="D189" s="11" t="s">
        <v>307</v>
      </c>
      <c r="E189" s="11" t="s">
        <v>48</v>
      </c>
      <c r="F189" s="11" t="s">
        <v>49</v>
      </c>
      <c r="G189" s="12" t="n">
        <v>79</v>
      </c>
      <c r="H189" s="12" t="n">
        <v>238</v>
      </c>
      <c r="I189" s="13" t="n">
        <f aca="false">IF(H189=0,"",G189/H189)</f>
        <v>0.331932773109244</v>
      </c>
      <c r="J189" s="14" t="n">
        <f aca="false">ROUND(H189*Resumen!$B$4,0)</f>
        <v>298</v>
      </c>
      <c r="K189" s="11" t="s">
        <v>11</v>
      </c>
      <c r="L189" s="14" t="n">
        <v>82</v>
      </c>
      <c r="M189" s="11" t="n">
        <v>-33.3365184</v>
      </c>
      <c r="N189" s="11" t="n">
        <v>-71.4105513</v>
      </c>
      <c r="O189" s="15" t="n">
        <v>327</v>
      </c>
      <c r="P189" s="18" t="n">
        <v>327</v>
      </c>
      <c r="Q189" s="17" t="s">
        <v>65</v>
      </c>
    </row>
    <row r="190" customFormat="false" ht="15" hidden="false" customHeight="true" outlineLevel="0" collapsed="false">
      <c r="A190" s="11" t="s">
        <v>357</v>
      </c>
      <c r="B190" s="11" t="s">
        <v>26</v>
      </c>
      <c r="C190" s="11" t="s">
        <v>69</v>
      </c>
      <c r="D190" s="11" t="s">
        <v>313</v>
      </c>
      <c r="E190" s="11" t="s">
        <v>48</v>
      </c>
      <c r="F190" s="11" t="s">
        <v>49</v>
      </c>
      <c r="G190" s="12" t="n">
        <v>159</v>
      </c>
      <c r="H190" s="12" t="n">
        <v>325</v>
      </c>
      <c r="I190" s="13" t="n">
        <f aca="false">IF(H190=0,"",G190/H190)</f>
        <v>0.489230769230769</v>
      </c>
      <c r="J190" s="14" t="n">
        <f aca="false">ROUND(H190*Resumen!$B$4,0)</f>
        <v>406</v>
      </c>
      <c r="K190" s="11" t="s">
        <v>11</v>
      </c>
      <c r="L190" s="14" t="n">
        <v>127</v>
      </c>
      <c r="M190" s="11" t="n">
        <v>-32.5561346</v>
      </c>
      <c r="N190" s="11" t="n">
        <v>-71.4553679</v>
      </c>
      <c r="O190" s="15" t="n">
        <v>422</v>
      </c>
      <c r="P190" s="18" t="n">
        <v>422</v>
      </c>
      <c r="Q190" s="17" t="s">
        <v>65</v>
      </c>
    </row>
    <row r="191" customFormat="false" ht="15" hidden="false" customHeight="true" outlineLevel="0" collapsed="false">
      <c r="A191" s="11" t="s">
        <v>358</v>
      </c>
      <c r="B191" s="11" t="s">
        <v>26</v>
      </c>
      <c r="C191" s="11" t="s">
        <v>69</v>
      </c>
      <c r="D191" s="11" t="s">
        <v>315</v>
      </c>
      <c r="E191" s="11" t="s">
        <v>48</v>
      </c>
      <c r="F191" s="11" t="s">
        <v>49</v>
      </c>
      <c r="G191" s="12" t="n">
        <v>96</v>
      </c>
      <c r="H191" s="12" t="n">
        <v>301</v>
      </c>
      <c r="I191" s="13" t="n">
        <f aca="false">IF(H191=0,"",G191/H191)</f>
        <v>0.318936877076412</v>
      </c>
      <c r="J191" s="14" t="n">
        <f aca="false">ROUND(H191*Resumen!$B$4,0)</f>
        <v>376</v>
      </c>
      <c r="K191" s="11" t="s">
        <v>11</v>
      </c>
      <c r="L191" s="14" t="n">
        <v>99</v>
      </c>
      <c r="M191" s="11" t="n">
        <v>-32.7963317</v>
      </c>
      <c r="N191" s="11" t="n">
        <v>-71.1461411</v>
      </c>
      <c r="O191" s="15" t="n">
        <v>364</v>
      </c>
      <c r="P191" s="18" t="n">
        <v>364</v>
      </c>
      <c r="Q191" s="17" t="s">
        <v>65</v>
      </c>
    </row>
    <row r="192" customFormat="false" ht="15" hidden="false" customHeight="true" outlineLevel="0" collapsed="false">
      <c r="A192" s="11" t="s">
        <v>359</v>
      </c>
      <c r="B192" s="11" t="s">
        <v>27</v>
      </c>
      <c r="C192" s="11" t="s">
        <v>277</v>
      </c>
      <c r="D192" s="11" t="s">
        <v>292</v>
      </c>
      <c r="E192" s="11" t="s">
        <v>64</v>
      </c>
      <c r="F192" s="11" t="s">
        <v>49</v>
      </c>
      <c r="G192" s="12" t="n">
        <v>68</v>
      </c>
      <c r="H192" s="12" t="n">
        <v>578</v>
      </c>
      <c r="I192" s="13" t="n">
        <f aca="false">IF(H192=0,"",G192/H192)</f>
        <v>0.117647058823529</v>
      </c>
      <c r="J192" s="14" t="n">
        <f aca="false">ROUND(H192*Resumen!$B$4,0)</f>
        <v>723</v>
      </c>
      <c r="K192" s="11" t="s">
        <v>11</v>
      </c>
      <c r="L192" s="14" t="n">
        <v>60</v>
      </c>
      <c r="M192" s="11" t="n">
        <v>-33.6783192</v>
      </c>
      <c r="N192" s="11" t="n">
        <v>-70.9782465</v>
      </c>
      <c r="O192" s="15" t="n">
        <v>666</v>
      </c>
      <c r="P192" s="18" t="n">
        <v>666</v>
      </c>
      <c r="Q192" s="17" t="s">
        <v>65</v>
      </c>
    </row>
    <row r="193" customFormat="false" ht="15" hidden="false" customHeight="true" outlineLevel="0" collapsed="false">
      <c r="A193" s="11" t="s">
        <v>360</v>
      </c>
      <c r="B193" s="11" t="s">
        <v>27</v>
      </c>
      <c r="C193" s="11" t="s">
        <v>277</v>
      </c>
      <c r="D193" s="11" t="s">
        <v>294</v>
      </c>
      <c r="E193" s="11" t="s">
        <v>64</v>
      </c>
      <c r="F193" s="11" t="s">
        <v>49</v>
      </c>
      <c r="G193" s="12" t="n">
        <v>59</v>
      </c>
      <c r="H193" s="12" t="n">
        <v>572</v>
      </c>
      <c r="I193" s="13" t="n">
        <f aca="false">IF(H193=0,"",G193/H193)</f>
        <v>0.103146853146853</v>
      </c>
      <c r="J193" s="14" t="n">
        <f aca="false">ROUND(H193*Resumen!$B$4,0)</f>
        <v>715</v>
      </c>
      <c r="K193" s="11" t="s">
        <v>11</v>
      </c>
      <c r="L193" s="14" t="n">
        <v>63</v>
      </c>
      <c r="M193" s="11" t="n">
        <v>-33.7496846</v>
      </c>
      <c r="N193" s="11" t="n">
        <v>-70.9007513</v>
      </c>
      <c r="O193" s="15" t="n">
        <v>650</v>
      </c>
      <c r="P193" s="18" t="n">
        <v>650</v>
      </c>
      <c r="Q193" s="17" t="s">
        <v>65</v>
      </c>
    </row>
    <row r="194" customFormat="false" ht="15" hidden="false" customHeight="true" outlineLevel="0" collapsed="false">
      <c r="A194" s="11" t="s">
        <v>361</v>
      </c>
      <c r="B194" s="11" t="s">
        <v>18</v>
      </c>
      <c r="C194" s="11" t="s">
        <v>72</v>
      </c>
      <c r="D194" s="11" t="s">
        <v>362</v>
      </c>
      <c r="E194" s="11" t="s">
        <v>76</v>
      </c>
      <c r="F194" s="11" t="s">
        <v>49</v>
      </c>
      <c r="G194" s="12" t="n">
        <v>550</v>
      </c>
      <c r="H194" s="12" t="n">
        <v>728</v>
      </c>
      <c r="I194" s="13" t="n">
        <f aca="false">IF(H194=0,"",G194/H194)</f>
        <v>0.755494505494506</v>
      </c>
      <c r="J194" s="14" t="n">
        <f aca="false">ROUND(H194*Resumen!$B$4,0)</f>
        <v>910</v>
      </c>
      <c r="K194" s="11" t="s">
        <v>13</v>
      </c>
      <c r="L194" s="14" t="n">
        <v>562</v>
      </c>
      <c r="M194" s="11" t="n">
        <v>-30.1296774</v>
      </c>
      <c r="N194" s="11" t="n">
        <v>-70.4961951</v>
      </c>
      <c r="O194" s="15" t="n">
        <v>971</v>
      </c>
      <c r="P194" s="16"/>
      <c r="Q194" s="17" t="s">
        <v>50</v>
      </c>
    </row>
    <row r="195" customFormat="false" ht="15" hidden="false" customHeight="true" outlineLevel="0" collapsed="false">
      <c r="A195" s="11" t="s">
        <v>363</v>
      </c>
      <c r="B195" s="11" t="s">
        <v>19</v>
      </c>
      <c r="C195" s="11" t="s">
        <v>104</v>
      </c>
      <c r="D195" s="11" t="s">
        <v>364</v>
      </c>
      <c r="E195" s="11" t="s">
        <v>131</v>
      </c>
      <c r="F195" s="11" t="s">
        <v>49</v>
      </c>
      <c r="G195" s="12" t="n">
        <v>62</v>
      </c>
      <c r="H195" s="12" t="n">
        <v>70</v>
      </c>
      <c r="I195" s="13" t="n">
        <f aca="false">IF(H195=0,"",G195/H195)</f>
        <v>0.885714285714286</v>
      </c>
      <c r="J195" s="14" t="n">
        <f aca="false">ROUND(H195*Resumen!$B$4,0)</f>
        <v>88</v>
      </c>
      <c r="K195" s="11" t="s">
        <v>13</v>
      </c>
      <c r="L195" s="14" t="n">
        <v>352</v>
      </c>
      <c r="M195" s="11" t="n">
        <v>-36.0565014</v>
      </c>
      <c r="N195" s="11" t="n">
        <v>-71.7672909</v>
      </c>
      <c r="O195" s="15" t="n">
        <v>76</v>
      </c>
      <c r="P195" s="16"/>
      <c r="Q195" s="17" t="s">
        <v>50</v>
      </c>
    </row>
    <row r="196" customFormat="false" ht="15" hidden="false" customHeight="true" outlineLevel="0" collapsed="false">
      <c r="A196" s="11" t="s">
        <v>365</v>
      </c>
      <c r="B196" s="11" t="s">
        <v>19</v>
      </c>
      <c r="C196" s="11" t="s">
        <v>104</v>
      </c>
      <c r="D196" s="11" t="s">
        <v>366</v>
      </c>
      <c r="E196" s="11" t="s">
        <v>367</v>
      </c>
      <c r="F196" s="11" t="s">
        <v>49</v>
      </c>
      <c r="G196" s="12" t="n">
        <v>106</v>
      </c>
      <c r="H196" s="12" t="n">
        <v>173</v>
      </c>
      <c r="I196" s="13" t="n">
        <f aca="false">IF(H196=0,"",G196/H196)</f>
        <v>0.61271676300578</v>
      </c>
      <c r="J196" s="14" t="n">
        <f aca="false">ROUND(H196*Resumen!$B$4,0)</f>
        <v>216</v>
      </c>
      <c r="K196" s="11" t="s">
        <v>13</v>
      </c>
      <c r="L196" s="14" t="n">
        <v>520</v>
      </c>
      <c r="M196" s="11" t="n">
        <v>-37.7964644</v>
      </c>
      <c r="N196" s="11" t="n">
        <v>-73.400751</v>
      </c>
      <c r="O196" s="15" t="n">
        <v>265</v>
      </c>
      <c r="P196" s="16"/>
      <c r="Q196" s="17" t="s">
        <v>50</v>
      </c>
    </row>
    <row r="197" customFormat="false" ht="15" hidden="false" customHeight="true" outlineLevel="0" collapsed="false">
      <c r="A197" s="11" t="s">
        <v>368</v>
      </c>
      <c r="B197" s="11" t="s">
        <v>19</v>
      </c>
      <c r="C197" s="11" t="s">
        <v>104</v>
      </c>
      <c r="D197" s="11" t="s">
        <v>369</v>
      </c>
      <c r="E197" s="11" t="s">
        <v>112</v>
      </c>
      <c r="F197" s="11" t="s">
        <v>49</v>
      </c>
      <c r="G197" s="12" t="n">
        <v>191</v>
      </c>
      <c r="H197" s="12" t="n">
        <v>232</v>
      </c>
      <c r="I197" s="13" t="n">
        <f aca="false">IF(H197=0,"",G197/H197)</f>
        <v>0.823275862068966</v>
      </c>
      <c r="J197" s="14" t="n">
        <f aca="false">ROUND(H197*Resumen!$B$4,0)</f>
        <v>290</v>
      </c>
      <c r="K197" s="11" t="s">
        <v>13</v>
      </c>
      <c r="L197" s="14" t="n">
        <v>186</v>
      </c>
      <c r="M197" s="11" t="n">
        <v>-34.6394038</v>
      </c>
      <c r="N197" s="11" t="n">
        <v>-71.3089073</v>
      </c>
      <c r="O197" s="15" t="n">
        <v>268</v>
      </c>
      <c r="P197" s="16"/>
      <c r="Q197" s="17" t="s">
        <v>50</v>
      </c>
    </row>
    <row r="198" customFormat="false" ht="15" hidden="false" customHeight="true" outlineLevel="0" collapsed="false">
      <c r="A198" s="11" t="s">
        <v>370</v>
      </c>
      <c r="B198" s="11" t="s">
        <v>20</v>
      </c>
      <c r="C198" s="11" t="s">
        <v>155</v>
      </c>
      <c r="D198" s="11" t="s">
        <v>371</v>
      </c>
      <c r="E198" s="11" t="s">
        <v>367</v>
      </c>
      <c r="F198" s="11" t="s">
        <v>55</v>
      </c>
      <c r="G198" s="12" t="n">
        <v>52</v>
      </c>
      <c r="H198" s="12" t="n">
        <v>62</v>
      </c>
      <c r="I198" s="13" t="n">
        <f aca="false">IF(H198=0,"",G198/H198)</f>
        <v>0.838709677419355</v>
      </c>
      <c r="J198" s="14" t="n">
        <f aca="false">ROUND(H198*Resumen!$B$4,0)</f>
        <v>78</v>
      </c>
      <c r="K198" s="11" t="s">
        <v>13</v>
      </c>
      <c r="L198" s="14" t="n">
        <v>476</v>
      </c>
      <c r="M198" s="11" t="n">
        <v>-37.0288309</v>
      </c>
      <c r="N198" s="11" t="n">
        <v>-72.4074179</v>
      </c>
      <c r="O198" s="15" t="n">
        <v>75</v>
      </c>
      <c r="P198" s="16"/>
      <c r="Q198" s="17" t="s">
        <v>50</v>
      </c>
    </row>
    <row r="199" customFormat="false" ht="15" hidden="false" customHeight="true" outlineLevel="0" collapsed="false">
      <c r="A199" s="11" t="s">
        <v>372</v>
      </c>
      <c r="B199" s="11" t="s">
        <v>20</v>
      </c>
      <c r="C199" s="11" t="s">
        <v>155</v>
      </c>
      <c r="D199" s="11" t="s">
        <v>373</v>
      </c>
      <c r="E199" s="11" t="s">
        <v>76</v>
      </c>
      <c r="F199" s="11" t="s">
        <v>49</v>
      </c>
      <c r="G199" s="12" t="n">
        <v>426</v>
      </c>
      <c r="H199" s="12" t="n">
        <v>709</v>
      </c>
      <c r="I199" s="13" t="n">
        <f aca="false">IF(H199=0,"",G199/H199)</f>
        <v>0.600846262341326</v>
      </c>
      <c r="J199" s="14" t="n">
        <f aca="false">ROUND(H199*Resumen!$B$4,0)</f>
        <v>886</v>
      </c>
      <c r="K199" s="11" t="s">
        <v>13</v>
      </c>
      <c r="L199" s="14" t="n">
        <v>429</v>
      </c>
      <c r="M199" s="11" t="n">
        <v>-30.693722</v>
      </c>
      <c r="N199" s="11" t="n">
        <v>-70.957811</v>
      </c>
      <c r="O199" s="15" t="n">
        <v>936</v>
      </c>
      <c r="P199" s="16"/>
      <c r="Q199" s="17" t="s">
        <v>50</v>
      </c>
    </row>
    <row r="200" customFormat="false" ht="15" hidden="false" customHeight="true" outlineLevel="0" collapsed="false">
      <c r="A200" s="11" t="s">
        <v>374</v>
      </c>
      <c r="B200" s="11" t="s">
        <v>20</v>
      </c>
      <c r="C200" s="11" t="s">
        <v>155</v>
      </c>
      <c r="D200" s="11" t="s">
        <v>375</v>
      </c>
      <c r="E200" s="11" t="s">
        <v>76</v>
      </c>
      <c r="F200" s="11" t="s">
        <v>49</v>
      </c>
      <c r="G200" s="12" t="n">
        <v>485</v>
      </c>
      <c r="H200" s="12" t="n">
        <v>730</v>
      </c>
      <c r="I200" s="13" t="n">
        <f aca="false">IF(H200=0,"",G200/H200)</f>
        <v>0.664383561643836</v>
      </c>
      <c r="J200" s="14" t="n">
        <f aca="false">ROUND(H200*Resumen!$B$4,0)</f>
        <v>913</v>
      </c>
      <c r="K200" s="11" t="s">
        <v>13</v>
      </c>
      <c r="L200" s="14" t="n">
        <v>465</v>
      </c>
      <c r="M200" s="11" t="n">
        <v>-30.5260948</v>
      </c>
      <c r="N200" s="11" t="n">
        <v>-70.8531714</v>
      </c>
      <c r="O200" s="15" t="n">
        <v>973</v>
      </c>
      <c r="P200" s="16"/>
      <c r="Q200" s="17" t="s">
        <v>50</v>
      </c>
    </row>
    <row r="201" customFormat="false" ht="15" hidden="false" customHeight="true" outlineLevel="0" collapsed="false">
      <c r="A201" s="11" t="s">
        <v>376</v>
      </c>
      <c r="B201" s="11" t="s">
        <v>20</v>
      </c>
      <c r="C201" s="11" t="s">
        <v>155</v>
      </c>
      <c r="D201" s="11" t="s">
        <v>369</v>
      </c>
      <c r="E201" s="11" t="s">
        <v>112</v>
      </c>
      <c r="F201" s="11" t="s">
        <v>49</v>
      </c>
      <c r="G201" s="12" t="n">
        <v>191</v>
      </c>
      <c r="H201" s="12" t="n">
        <v>290</v>
      </c>
      <c r="I201" s="13" t="n">
        <f aca="false">IF(H201=0,"",G201/H201)</f>
        <v>0.658620689655172</v>
      </c>
      <c r="J201" s="14" t="n">
        <f aca="false">ROUND(H201*Resumen!$B$4,0)</f>
        <v>363</v>
      </c>
      <c r="K201" s="11" t="s">
        <v>13</v>
      </c>
      <c r="L201" s="14" t="n">
        <v>186</v>
      </c>
      <c r="M201" s="11" t="n">
        <v>-34.6394038</v>
      </c>
      <c r="N201" s="11" t="n">
        <v>-71.3089073</v>
      </c>
      <c r="O201" s="15" t="n">
        <v>364</v>
      </c>
      <c r="P201" s="16"/>
      <c r="Q201" s="17" t="s">
        <v>50</v>
      </c>
    </row>
    <row r="202" customFormat="false" ht="15" hidden="false" customHeight="true" outlineLevel="0" collapsed="false">
      <c r="A202" s="11" t="s">
        <v>377</v>
      </c>
      <c r="B202" s="11" t="s">
        <v>20</v>
      </c>
      <c r="C202" s="11" t="s">
        <v>155</v>
      </c>
      <c r="D202" s="11" t="s">
        <v>378</v>
      </c>
      <c r="E202" s="11" t="s">
        <v>131</v>
      </c>
      <c r="F202" s="11" t="s">
        <v>49</v>
      </c>
      <c r="G202" s="12" t="n">
        <v>207</v>
      </c>
      <c r="H202" s="12" t="n">
        <v>265</v>
      </c>
      <c r="I202" s="13" t="n">
        <f aca="false">IF(H202=0,"",G202/H202)</f>
        <v>0.781132075471698</v>
      </c>
      <c r="J202" s="14" t="n">
        <f aca="false">ROUND(H202*Resumen!$B$4,0)</f>
        <v>331</v>
      </c>
      <c r="K202" s="11" t="s">
        <v>13</v>
      </c>
      <c r="L202" s="14" t="n">
        <v>210</v>
      </c>
      <c r="M202" s="11" t="n">
        <v>-34.9333622</v>
      </c>
      <c r="N202" s="11" t="n">
        <v>-71.2763035</v>
      </c>
      <c r="O202" s="15" t="n">
        <v>318</v>
      </c>
      <c r="P202" s="16"/>
      <c r="Q202" s="17" t="s">
        <v>50</v>
      </c>
    </row>
    <row r="203" customFormat="false" ht="15" hidden="false" customHeight="true" outlineLevel="0" collapsed="false">
      <c r="A203" s="11" t="s">
        <v>379</v>
      </c>
      <c r="B203" s="11" t="s">
        <v>21</v>
      </c>
      <c r="C203" s="11" t="s">
        <v>46</v>
      </c>
      <c r="D203" s="11" t="s">
        <v>380</v>
      </c>
      <c r="E203" s="11" t="s">
        <v>76</v>
      </c>
      <c r="F203" s="11" t="s">
        <v>55</v>
      </c>
      <c r="G203" s="12" t="n">
        <v>71</v>
      </c>
      <c r="H203" s="12" t="n">
        <v>93</v>
      </c>
      <c r="I203" s="13" t="n">
        <f aca="false">IF(H203=0,"",G203/H203)</f>
        <v>0.763440860215054</v>
      </c>
      <c r="J203" s="14" t="n">
        <f aca="false">ROUND(H203*Resumen!$B$4,0)</f>
        <v>116</v>
      </c>
      <c r="K203" s="11" t="s">
        <v>13</v>
      </c>
      <c r="L203" s="14" t="n">
        <v>541</v>
      </c>
      <c r="M203" s="11" t="n">
        <v>-29.9769237</v>
      </c>
      <c r="N203" s="11" t="n">
        <v>-70.5546615</v>
      </c>
      <c r="O203" s="15" t="n">
        <v>166</v>
      </c>
      <c r="P203" s="16"/>
      <c r="Q203" s="17" t="s">
        <v>50</v>
      </c>
    </row>
    <row r="204" customFormat="false" ht="15" hidden="false" customHeight="true" outlineLevel="0" collapsed="false">
      <c r="A204" s="11" t="s">
        <v>381</v>
      </c>
      <c r="B204" s="11" t="s">
        <v>21</v>
      </c>
      <c r="C204" s="11" t="s">
        <v>46</v>
      </c>
      <c r="D204" s="11" t="s">
        <v>382</v>
      </c>
      <c r="E204" s="11" t="s">
        <v>383</v>
      </c>
      <c r="F204" s="11" t="s">
        <v>49</v>
      </c>
      <c r="G204" s="12" t="n">
        <v>200</v>
      </c>
      <c r="H204" s="12" t="n">
        <v>228</v>
      </c>
      <c r="I204" s="13" t="n">
        <f aca="false">IF(H204=0,"",G204/H204)</f>
        <v>0.87719298245614</v>
      </c>
      <c r="J204" s="14" t="n">
        <f aca="false">ROUND(H204*Resumen!$B$4,0)</f>
        <v>285</v>
      </c>
      <c r="K204" s="11" t="s">
        <v>13</v>
      </c>
      <c r="L204" s="14" t="n">
        <v>654</v>
      </c>
      <c r="M204" s="11" t="n">
        <v>-28.5901897</v>
      </c>
      <c r="N204" s="11" t="n">
        <v>-70.7534421</v>
      </c>
      <c r="O204" s="15" t="n">
        <v>281</v>
      </c>
      <c r="P204" s="16"/>
      <c r="Q204" s="17" t="s">
        <v>50</v>
      </c>
    </row>
    <row r="205" customFormat="false" ht="15" hidden="false" customHeight="true" outlineLevel="0" collapsed="false">
      <c r="A205" s="11" t="s">
        <v>384</v>
      </c>
      <c r="B205" s="11" t="s">
        <v>22</v>
      </c>
      <c r="C205" s="11" t="s">
        <v>54</v>
      </c>
      <c r="D205" s="11" t="s">
        <v>294</v>
      </c>
      <c r="E205" s="11" t="s">
        <v>64</v>
      </c>
      <c r="F205" s="11" t="s">
        <v>49</v>
      </c>
      <c r="G205" s="12" t="n">
        <v>59</v>
      </c>
      <c r="H205" s="12" t="n">
        <v>111</v>
      </c>
      <c r="I205" s="13" t="n">
        <f aca="false">IF(H205=0,"",G205/H205)</f>
        <v>0.531531531531532</v>
      </c>
      <c r="J205" s="14" t="n">
        <f aca="false">ROUND(H205*Resumen!$B$4,0)</f>
        <v>139</v>
      </c>
      <c r="K205" s="11" t="s">
        <v>13</v>
      </c>
      <c r="L205" s="14" t="n">
        <v>63</v>
      </c>
      <c r="M205" s="11" t="n">
        <v>-33.7496846</v>
      </c>
      <c r="N205" s="11" t="n">
        <v>-70.9007513</v>
      </c>
      <c r="O205" s="15" t="n">
        <v>161</v>
      </c>
      <c r="P205" s="16"/>
      <c r="Q205" s="17" t="s">
        <v>50</v>
      </c>
    </row>
    <row r="206" customFormat="false" ht="15" hidden="false" customHeight="true" outlineLevel="0" collapsed="false">
      <c r="A206" s="11" t="s">
        <v>385</v>
      </c>
      <c r="B206" s="11" t="s">
        <v>23</v>
      </c>
      <c r="C206" s="11" t="s">
        <v>58</v>
      </c>
      <c r="D206" s="11" t="s">
        <v>386</v>
      </c>
      <c r="E206" s="11" t="s">
        <v>60</v>
      </c>
      <c r="F206" s="11" t="s">
        <v>49</v>
      </c>
      <c r="G206" s="12" t="n">
        <v>1024</v>
      </c>
      <c r="H206" s="12" t="n">
        <v>1663</v>
      </c>
      <c r="I206" s="13" t="n">
        <f aca="false">IF(H206=0,"",G206/H206)</f>
        <v>0.615754660252556</v>
      </c>
      <c r="J206" s="14" t="n">
        <f aca="false">ROUND(H206*Resumen!$B$4,0)</f>
        <v>2079</v>
      </c>
      <c r="K206" s="11" t="s">
        <v>13</v>
      </c>
      <c r="L206" s="14"/>
      <c r="M206" s="11" t="n">
        <v>-55.9789712</v>
      </c>
      <c r="N206" s="11" t="n">
        <v>-67.2890335</v>
      </c>
      <c r="O206" s="15" t="n">
        <v>2741</v>
      </c>
      <c r="P206" s="16"/>
      <c r="Q206" s="17" t="s">
        <v>50</v>
      </c>
    </row>
    <row r="207" customFormat="false" ht="15" hidden="false" customHeight="true" outlineLevel="0" collapsed="false">
      <c r="A207" s="11" t="s">
        <v>387</v>
      </c>
      <c r="B207" s="11" t="s">
        <v>24</v>
      </c>
      <c r="C207" s="11" t="s">
        <v>62</v>
      </c>
      <c r="D207" s="11" t="s">
        <v>388</v>
      </c>
      <c r="E207" s="11" t="s">
        <v>48</v>
      </c>
      <c r="F207" s="11" t="s">
        <v>49</v>
      </c>
      <c r="G207" s="12" t="n">
        <v>142</v>
      </c>
      <c r="H207" s="12" t="n">
        <v>199</v>
      </c>
      <c r="I207" s="13" t="n">
        <f aca="false">IF(H207=0,"",G207/H207)</f>
        <v>0.71356783919598</v>
      </c>
      <c r="J207" s="14" t="n">
        <f aca="false">ROUND(H207*Resumen!$B$4,0)</f>
        <v>249</v>
      </c>
      <c r="K207" s="11" t="s">
        <v>13</v>
      </c>
      <c r="L207" s="14" t="n">
        <v>145</v>
      </c>
      <c r="M207" s="11" t="n">
        <v>-32.4391903</v>
      </c>
      <c r="N207" s="11" t="n">
        <v>-71.2106648</v>
      </c>
      <c r="O207" s="15" t="n">
        <v>239</v>
      </c>
      <c r="P207" s="16"/>
      <c r="Q207" s="17" t="s">
        <v>50</v>
      </c>
    </row>
    <row r="208" customFormat="false" ht="15" hidden="false" customHeight="true" outlineLevel="0" collapsed="false">
      <c r="A208" s="11" t="s">
        <v>389</v>
      </c>
      <c r="B208" s="11" t="s">
        <v>24</v>
      </c>
      <c r="C208" s="11" t="s">
        <v>62</v>
      </c>
      <c r="D208" s="11" t="s">
        <v>315</v>
      </c>
      <c r="E208" s="11" t="s">
        <v>48</v>
      </c>
      <c r="F208" s="11" t="s">
        <v>49</v>
      </c>
      <c r="G208" s="12" t="n">
        <v>96</v>
      </c>
      <c r="H208" s="12" t="n">
        <v>159</v>
      </c>
      <c r="I208" s="13" t="n">
        <f aca="false">IF(H208=0,"",G208/H208)</f>
        <v>0.60377358490566</v>
      </c>
      <c r="J208" s="14" t="n">
        <f aca="false">ROUND(H208*Resumen!$B$4,0)</f>
        <v>199</v>
      </c>
      <c r="K208" s="11" t="s">
        <v>13</v>
      </c>
      <c r="L208" s="14" t="n">
        <v>99</v>
      </c>
      <c r="M208" s="11" t="n">
        <v>-32.7963317</v>
      </c>
      <c r="N208" s="11" t="n">
        <v>-71.1461411</v>
      </c>
      <c r="O208" s="15" t="n">
        <v>192</v>
      </c>
      <c r="P208" s="16"/>
      <c r="Q208" s="17" t="s">
        <v>50</v>
      </c>
    </row>
    <row r="209" customFormat="false" ht="15" hidden="false" customHeight="true" outlineLevel="0" collapsed="false">
      <c r="A209" s="11" t="s">
        <v>390</v>
      </c>
      <c r="B209" s="11" t="s">
        <v>24</v>
      </c>
      <c r="C209" s="11" t="s">
        <v>62</v>
      </c>
      <c r="D209" s="11" t="s">
        <v>317</v>
      </c>
      <c r="E209" s="11" t="s">
        <v>48</v>
      </c>
      <c r="F209" s="11" t="s">
        <v>49</v>
      </c>
      <c r="G209" s="12" t="n">
        <v>113</v>
      </c>
      <c r="H209" s="12" t="n">
        <v>171</v>
      </c>
      <c r="I209" s="13" t="n">
        <f aca="false">IF(H209=0,"",G209/H209)</f>
        <v>0.660818713450292</v>
      </c>
      <c r="J209" s="14" t="n">
        <f aca="false">ROUND(H209*Resumen!$B$4,0)</f>
        <v>214</v>
      </c>
      <c r="K209" s="11" t="s">
        <v>13</v>
      </c>
      <c r="L209" s="14" t="n">
        <v>88</v>
      </c>
      <c r="M209" s="11" t="n">
        <v>-32.6506649</v>
      </c>
      <c r="N209" s="11" t="n">
        <v>-70.7042671</v>
      </c>
      <c r="O209" s="15" t="n">
        <v>186</v>
      </c>
      <c r="P209" s="16"/>
      <c r="Q209" s="17" t="s">
        <v>50</v>
      </c>
    </row>
    <row r="210" customFormat="false" ht="15" hidden="false" customHeight="true" outlineLevel="0" collapsed="false">
      <c r="A210" s="11" t="s">
        <v>391</v>
      </c>
      <c r="B210" s="11" t="s">
        <v>24</v>
      </c>
      <c r="C210" s="11" t="s">
        <v>62</v>
      </c>
      <c r="D210" s="11" t="s">
        <v>319</v>
      </c>
      <c r="E210" s="11" t="s">
        <v>48</v>
      </c>
      <c r="F210" s="11" t="s">
        <v>49</v>
      </c>
      <c r="G210" s="12" t="n">
        <v>111</v>
      </c>
      <c r="H210" s="12" t="n">
        <v>169</v>
      </c>
      <c r="I210" s="13" t="n">
        <f aca="false">IF(H210=0,"",G210/H210)</f>
        <v>0.656804733727811</v>
      </c>
      <c r="J210" s="14" t="n">
        <f aca="false">ROUND(H210*Resumen!$B$4,0)</f>
        <v>211</v>
      </c>
      <c r="K210" s="11" t="s">
        <v>13</v>
      </c>
      <c r="L210" s="14" t="n">
        <v>104</v>
      </c>
      <c r="M210" s="11" t="n">
        <v>-32.7117101</v>
      </c>
      <c r="N210" s="11" t="n">
        <v>-71.1845356</v>
      </c>
      <c r="O210" s="15" t="n">
        <v>210</v>
      </c>
      <c r="P210" s="16"/>
      <c r="Q210" s="17" t="s">
        <v>50</v>
      </c>
    </row>
    <row r="211" customFormat="false" ht="15" hidden="false" customHeight="true" outlineLevel="0" collapsed="false">
      <c r="A211" s="11" t="s">
        <v>392</v>
      </c>
      <c r="B211" s="11" t="s">
        <v>24</v>
      </c>
      <c r="C211" s="11" t="s">
        <v>62</v>
      </c>
      <c r="D211" s="11" t="s">
        <v>393</v>
      </c>
      <c r="E211" s="11" t="s">
        <v>48</v>
      </c>
      <c r="F211" s="11" t="s">
        <v>49</v>
      </c>
      <c r="G211" s="12" t="n">
        <v>108</v>
      </c>
      <c r="H211" s="12" t="n">
        <v>157</v>
      </c>
      <c r="I211" s="13" t="n">
        <f aca="false">IF(H211=0,"",G211/H211)</f>
        <v>0.687898089171975</v>
      </c>
      <c r="J211" s="14" t="n">
        <f aca="false">ROUND(H211*Resumen!$B$4,0)</f>
        <v>196</v>
      </c>
      <c r="K211" s="11" t="s">
        <v>13</v>
      </c>
      <c r="L211" s="14" t="n">
        <v>101</v>
      </c>
      <c r="M211" s="11" t="n">
        <v>-32.7774891</v>
      </c>
      <c r="N211" s="11" t="n">
        <v>-70.8128188</v>
      </c>
      <c r="O211" s="15" t="n">
        <v>195</v>
      </c>
      <c r="P211" s="16"/>
      <c r="Q211" s="17" t="s">
        <v>50</v>
      </c>
    </row>
    <row r="212" customFormat="false" ht="15" hidden="false" customHeight="true" outlineLevel="0" collapsed="false">
      <c r="A212" s="11" t="s">
        <v>394</v>
      </c>
      <c r="B212" s="11" t="s">
        <v>25</v>
      </c>
      <c r="C212" s="11" t="s">
        <v>263</v>
      </c>
      <c r="D212" s="11" t="s">
        <v>347</v>
      </c>
      <c r="E212" s="11" t="s">
        <v>48</v>
      </c>
      <c r="F212" s="11" t="s">
        <v>49</v>
      </c>
      <c r="G212" s="12" t="n">
        <v>65</v>
      </c>
      <c r="H212" s="12" t="n">
        <v>83</v>
      </c>
      <c r="I212" s="13" t="n">
        <f aca="false">IF(H212=0,"",G212/H212)</f>
        <v>0.783132530120482</v>
      </c>
      <c r="J212" s="14" t="n">
        <f aca="false">ROUND(H212*Resumen!$B$4,0)</f>
        <v>104</v>
      </c>
      <c r="K212" s="11" t="s">
        <v>13</v>
      </c>
      <c r="L212" s="14" t="n">
        <v>62</v>
      </c>
      <c r="M212" s="11" t="n">
        <v>-32.8498879</v>
      </c>
      <c r="N212" s="11" t="n">
        <v>-70.6873617</v>
      </c>
      <c r="O212" s="15" t="n">
        <v>91</v>
      </c>
      <c r="P212" s="16"/>
      <c r="Q212" s="17" t="s">
        <v>50</v>
      </c>
    </row>
    <row r="213" customFormat="false" ht="15" hidden="false" customHeight="true" outlineLevel="0" collapsed="false">
      <c r="A213" s="11" t="s">
        <v>395</v>
      </c>
      <c r="B213" s="11" t="s">
        <v>25</v>
      </c>
      <c r="C213" s="11" t="s">
        <v>263</v>
      </c>
      <c r="D213" s="11" t="s">
        <v>352</v>
      </c>
      <c r="E213" s="11" t="s">
        <v>48</v>
      </c>
      <c r="F213" s="11" t="s">
        <v>49</v>
      </c>
      <c r="G213" s="12" t="n">
        <v>74</v>
      </c>
      <c r="H213" s="12" t="n">
        <v>89</v>
      </c>
      <c r="I213" s="13" t="n">
        <f aca="false">IF(H213=0,"",G213/H213)</f>
        <v>0.831460674157303</v>
      </c>
      <c r="J213" s="14" t="n">
        <f aca="false">ROUND(H213*Resumen!$B$4,0)</f>
        <v>111</v>
      </c>
      <c r="K213" s="11" t="s">
        <v>13</v>
      </c>
      <c r="L213" s="14" t="n">
        <v>70</v>
      </c>
      <c r="M213" s="11" t="n">
        <v>-32.7997864</v>
      </c>
      <c r="N213" s="11" t="n">
        <v>-70.5798381</v>
      </c>
      <c r="O213" s="15" t="n">
        <v>100</v>
      </c>
      <c r="P213" s="16"/>
      <c r="Q213" s="17" t="s">
        <v>50</v>
      </c>
    </row>
    <row r="214" customFormat="false" ht="15" hidden="false" customHeight="true" outlineLevel="0" collapsed="false">
      <c r="A214" s="11" t="s">
        <v>396</v>
      </c>
      <c r="B214" s="11" t="s">
        <v>26</v>
      </c>
      <c r="C214" s="11" t="s">
        <v>69</v>
      </c>
      <c r="D214" s="11" t="s">
        <v>321</v>
      </c>
      <c r="E214" s="11" t="s">
        <v>48</v>
      </c>
      <c r="F214" s="11" t="s">
        <v>49</v>
      </c>
      <c r="G214" s="12" t="n">
        <v>125</v>
      </c>
      <c r="H214" s="12" t="n">
        <v>210</v>
      </c>
      <c r="I214" s="13" t="n">
        <f aca="false">IF(H214=0,"",G214/H214)</f>
        <v>0.595238095238095</v>
      </c>
      <c r="J214" s="14" t="n">
        <f aca="false">ROUND(H214*Resumen!$B$4,0)</f>
        <v>263</v>
      </c>
      <c r="K214" s="11" t="s">
        <v>13</v>
      </c>
      <c r="L214" s="14" t="n">
        <v>120</v>
      </c>
      <c r="M214" s="11" t="n">
        <v>-33.5852695</v>
      </c>
      <c r="N214" s="11" t="n">
        <v>-71.6116811</v>
      </c>
      <c r="O214" s="15" t="n">
        <v>314</v>
      </c>
      <c r="P214" s="16"/>
      <c r="Q214" s="17" t="s">
        <v>50</v>
      </c>
    </row>
    <row r="215" customFormat="false" ht="15" hidden="false" customHeight="true" outlineLevel="0" collapsed="false">
      <c r="A215" s="11" t="s">
        <v>397</v>
      </c>
      <c r="B215" s="11" t="s">
        <v>26</v>
      </c>
      <c r="C215" s="11" t="s">
        <v>69</v>
      </c>
      <c r="D215" s="11" t="s">
        <v>398</v>
      </c>
      <c r="E215" s="11" t="s">
        <v>48</v>
      </c>
      <c r="F215" s="11" t="s">
        <v>49</v>
      </c>
      <c r="G215" s="12" t="n">
        <v>131</v>
      </c>
      <c r="H215" s="12" t="n">
        <v>204</v>
      </c>
      <c r="I215" s="13" t="n">
        <f aca="false">IF(H215=0,"",G215/H215)</f>
        <v>0.642156862745098</v>
      </c>
      <c r="J215" s="14" t="n">
        <f aca="false">ROUND(H215*Resumen!$B$4,0)</f>
        <v>255</v>
      </c>
      <c r="K215" s="11" t="s">
        <v>13</v>
      </c>
      <c r="L215" s="14" t="n">
        <v>126</v>
      </c>
      <c r="M215" s="11" t="n">
        <v>-33.6405948</v>
      </c>
      <c r="N215" s="11" t="n">
        <v>-71.6260957</v>
      </c>
      <c r="O215" s="15" t="n">
        <v>262</v>
      </c>
      <c r="P215" s="16"/>
      <c r="Q215" s="17" t="s">
        <v>50</v>
      </c>
    </row>
    <row r="216" customFormat="false" ht="15" hidden="false" customHeight="true" outlineLevel="0" collapsed="false">
      <c r="A216" s="11" t="s">
        <v>399</v>
      </c>
      <c r="B216" s="11" t="s">
        <v>27</v>
      </c>
      <c r="C216" s="11" t="s">
        <v>277</v>
      </c>
      <c r="D216" s="11" t="s">
        <v>400</v>
      </c>
      <c r="E216" s="11" t="s">
        <v>401</v>
      </c>
      <c r="F216" s="11" t="s">
        <v>55</v>
      </c>
      <c r="G216" s="12" t="n">
        <v>28</v>
      </c>
      <c r="H216" s="12" t="n">
        <v>40</v>
      </c>
      <c r="I216" s="13" t="n">
        <f aca="false">IF(H216=0,"",G216/H216)</f>
        <v>0.7</v>
      </c>
      <c r="J216" s="14" t="n">
        <f aca="false">ROUND(H216*Resumen!$B$4,0)</f>
        <v>50</v>
      </c>
      <c r="K216" s="11" t="s">
        <v>13</v>
      </c>
      <c r="L216" s="14" t="n">
        <v>702</v>
      </c>
      <c r="M216" s="11" t="n">
        <v>-38.4926338</v>
      </c>
      <c r="N216" s="11" t="n">
        <v>-72.9210366</v>
      </c>
      <c r="O216" s="15" t="n">
        <v>48</v>
      </c>
      <c r="P216" s="16"/>
      <c r="Q216" s="17" t="s">
        <v>50</v>
      </c>
    </row>
    <row r="217" customFormat="false" ht="15" hidden="false" customHeight="true" outlineLevel="0" collapsed="false">
      <c r="A217" s="11" t="s">
        <v>402</v>
      </c>
      <c r="B217" s="11" t="s">
        <v>27</v>
      </c>
      <c r="C217" s="11" t="s">
        <v>277</v>
      </c>
      <c r="D217" s="11" t="s">
        <v>403</v>
      </c>
      <c r="E217" s="11" t="s">
        <v>401</v>
      </c>
      <c r="F217" s="11" t="s">
        <v>55</v>
      </c>
      <c r="G217" s="12" t="n">
        <v>84</v>
      </c>
      <c r="H217" s="12" t="n">
        <v>95</v>
      </c>
      <c r="I217" s="13" t="n">
        <f aca="false">IF(H217=0,"",G217/H217)</f>
        <v>0.884210526315789</v>
      </c>
      <c r="J217" s="14" t="n">
        <f aca="false">ROUND(H217*Resumen!$B$4,0)</f>
        <v>119</v>
      </c>
      <c r="K217" s="11" t="s">
        <v>13</v>
      </c>
      <c r="L217" s="14" t="n">
        <v>809</v>
      </c>
      <c r="M217" s="11" t="n">
        <v>-39.4201592</v>
      </c>
      <c r="N217" s="11" t="n">
        <v>-71.9399397</v>
      </c>
      <c r="O217" s="15" t="n">
        <v>122</v>
      </c>
      <c r="P217" s="16"/>
      <c r="Q217" s="17" t="s">
        <v>50</v>
      </c>
    </row>
    <row r="218" customFormat="false" ht="15" hidden="false" customHeight="true" outlineLevel="0" collapsed="false">
      <c r="A218" s="11" t="s">
        <v>404</v>
      </c>
      <c r="B218" s="11" t="s">
        <v>28</v>
      </c>
      <c r="C218" s="11" t="s">
        <v>405</v>
      </c>
      <c r="D218" s="11" t="s">
        <v>193</v>
      </c>
      <c r="E218" s="11" t="s">
        <v>64</v>
      </c>
      <c r="F218" s="11" t="s">
        <v>55</v>
      </c>
      <c r="G218" s="12" t="n">
        <v>69</v>
      </c>
      <c r="H218" s="12" t="n">
        <v>81</v>
      </c>
      <c r="I218" s="13" t="n">
        <f aca="false">IF(H218=0,"",G218/H218)</f>
        <v>0.851851851851852</v>
      </c>
      <c r="J218" s="14" t="n">
        <f aca="false">ROUND(H218*Resumen!$B$4,0)</f>
        <v>101</v>
      </c>
      <c r="K218" s="11" t="s">
        <v>13</v>
      </c>
      <c r="L218" s="14" t="n">
        <v>69</v>
      </c>
      <c r="M218" s="11" t="n">
        <v>-33.7435391</v>
      </c>
      <c r="N218" s="11" t="n">
        <v>-69.9890364</v>
      </c>
      <c r="O218" s="15" t="n">
        <v>123</v>
      </c>
      <c r="P218" s="16"/>
      <c r="Q218" s="17" t="s">
        <v>50</v>
      </c>
    </row>
    <row r="220" customFormat="false" ht="15" hidden="false" customHeight="true" outlineLevel="0" collapsed="false">
      <c r="A220" s="3" t="s">
        <v>406</v>
      </c>
    </row>
  </sheetData>
  <autoFilter ref="A1:Q2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2026-09-27T17:43:14Z</dcterms:created>
  <dc:creator>openpyxl</dc:creator>
  <dc:description/>
  <dc:language>en-US</dc:language>
  <cp:lastModifiedBy/>
  <dcterms:modified xsi:type="dcterms:W3CDTF">2026-09-27T18:06:02Z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